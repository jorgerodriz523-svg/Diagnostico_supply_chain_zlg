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wsl.localhost\Ubuntu\home\jorge\proyectos\Diagnostico_supply_chain_zlg\config\"/>
    </mc:Choice>
  </mc:AlternateContent>
  <xr:revisionPtr revIDLastSave="0" documentId="13_ncr:1_{F4D20649-F713-488D-93C8-E72220167376}" xr6:coauthVersionLast="47" xr6:coauthVersionMax="47" xr10:uidLastSave="{00000000-0000-0000-0000-000000000000}"/>
  <bookViews>
    <workbookView xWindow="-108" yWindow="-108" windowWidth="23256" windowHeight="12456" tabRatio="598" activeTab="5" xr2:uid="{00000000-000D-0000-FFFF-FFFF00000000}"/>
  </bookViews>
  <sheets>
    <sheet name="0_Instrucciones" sheetId="1" r:id="rId1"/>
    <sheet name="1_Modulos" sheetId="2" r:id="rId2"/>
    <sheet name="2_Dimensiones" sheetId="3" r:id="rId3"/>
    <sheet name="3_Preguntas" sheetId="4" r:id="rId4"/>
    <sheet name="4_Opciones_Pesos" sheetId="5" r:id="rId5"/>
    <sheet name="5_Estrategia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81" i="4" l="1"/>
  <c r="G80" i="4"/>
  <c r="G79" i="4"/>
  <c r="G78" i="4"/>
  <c r="G77" i="4"/>
  <c r="G76" i="4"/>
  <c r="G75" i="4"/>
  <c r="G74" i="4"/>
  <c r="G73" i="4"/>
  <c r="G72" i="4"/>
  <c r="G71" i="4"/>
  <c r="G70" i="4"/>
  <c r="G69" i="4"/>
  <c r="G68" i="4"/>
  <c r="G67" i="4"/>
  <c r="G66" i="4"/>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G6" i="4"/>
  <c r="G5" i="4"/>
  <c r="G4" i="4"/>
  <c r="E4" i="3"/>
</calcChain>
</file>

<file path=xl/sharedStrings.xml><?xml version="1.0" encoding="utf-8"?>
<sst xmlns="http://schemas.openxmlformats.org/spreadsheetml/2006/main" count="4932" uniqueCount="1010">
  <si>
    <t>SISTEMA DIAGNÓSTICO SUPPLY CHAIN — Guía de uso del archivo de parametrización</t>
  </si>
  <si>
    <t>HOJA</t>
  </si>
  <si>
    <t>DESCRIPCIÓN Y USO</t>
  </si>
  <si>
    <t>1_Modulos</t>
  </si>
  <si>
    <t>2_Dimensiones</t>
  </si>
  <si>
    <t>3_Preguntas</t>
  </si>
  <si>
    <t>Banco de preguntas por módulo y dimensión. Peso por pregunta dentro de la dimensión. Agregar filas para nuevas preguntas sin tocar el código.</t>
  </si>
  <si>
    <t>4_Opciones_Pesos</t>
  </si>
  <si>
    <t>5_Estrategias</t>
  </si>
  <si>
    <t>Estrategias activadas según el puntaje obtenido en cada pregunta. Rango mín-máx define cuándo se muestra la estrategia al cliente.</t>
  </si>
  <si>
    <t>REGLA DE SCORING</t>
  </si>
  <si>
    <t>Score pregunta</t>
  </si>
  <si>
    <t>Score subdimensión</t>
  </si>
  <si>
    <t>Score dimensión</t>
  </si>
  <si>
    <t>Score general</t>
  </si>
  <si>
    <t>SEMÁFORO</t>
  </si>
  <si>
    <t>Rojo (0-64%)</t>
  </si>
  <si>
    <t>Operación en etapa básica o inexistente. Requiere intervención inmediata.</t>
  </si>
  <si>
    <t>Amarillo (65-85%)</t>
  </si>
  <si>
    <t>Operación en desarrollo. Existen procesos pero con brechas relevantes.</t>
  </si>
  <si>
    <t>Verde (86-100%)</t>
  </si>
  <si>
    <t>Operación madura. Se gestiona con indicadores y mejora continua.</t>
  </si>
  <si>
    <t>NIVELES DE BRECHA</t>
  </si>
  <si>
    <t>Crítica (0-33)</t>
  </si>
  <si>
    <t>La práctica no existe o es completamente informal. Prioridad máxima.</t>
  </si>
  <si>
    <t>Moderada (34-66)</t>
  </si>
  <si>
    <t>La práctica existe pero no está estandarizada ni sistematizada.</t>
  </si>
  <si>
    <t>Leve (67-99)</t>
  </si>
  <si>
    <t>La práctica está implementada pero puede optimizarse.</t>
  </si>
  <si>
    <t>SISTEMA DIAGNÓSTICO SUPPLY CHAIN — Catálogo de Módulos</t>
  </si>
  <si>
    <t>ID Módulo</t>
  </si>
  <si>
    <t>Nombre Módulo</t>
  </si>
  <si>
    <t>Descripción</t>
  </si>
  <si>
    <t>Dimensiones</t>
  </si>
  <si>
    <t>Activo</t>
  </si>
  <si>
    <t>Orden visualización</t>
  </si>
  <si>
    <t>MOD-01</t>
  </si>
  <si>
    <t>Almacenamiento</t>
  </si>
  <si>
    <t>Diagnóstico del nivel de madurez del CEDI o centro de distribución</t>
  </si>
  <si>
    <t>Técnica y Operacional · Estructura · KPI</t>
  </si>
  <si>
    <t>Sí</t>
  </si>
  <si>
    <t>MOD-02</t>
  </si>
  <si>
    <t>Transporte</t>
  </si>
  <si>
    <t>Evaluación de la gestión de la flota y operaciones de transporte</t>
  </si>
  <si>
    <t>Por definir</t>
  </si>
  <si>
    <t>No</t>
  </si>
  <si>
    <t>MOD-03</t>
  </si>
  <si>
    <t>Inventarios</t>
  </si>
  <si>
    <t>Diagnóstico del modelo de gestión de inventarios</t>
  </si>
  <si>
    <t>MOD-04</t>
  </si>
  <si>
    <t>Planeación</t>
  </si>
  <si>
    <t>Evaluación del proceso de S&amp;OP y planeación de la demanda</t>
  </si>
  <si>
    <t>MOD-05</t>
  </si>
  <si>
    <t>Distribución</t>
  </si>
  <si>
    <t>Diagnóstico de la red de distribución y last mile</t>
  </si>
  <si>
    <t>SISTEMA DIAGNÓSTICO SUPPLY CHAIN — Catálogo de Dimensiones y Subdimensiones</t>
  </si>
  <si>
    <t>ID Dimensión</t>
  </si>
  <si>
    <t>Nombre Dimensión</t>
  </si>
  <si>
    <t>Subdimensión</t>
  </si>
  <si>
    <t>Peso Dimensión (%)</t>
  </si>
  <si>
    <t>Orden</t>
  </si>
  <si>
    <t>DIM-01</t>
  </si>
  <si>
    <t>Técnica y Operacional</t>
  </si>
  <si>
    <t>Recibo</t>
  </si>
  <si>
    <t>Evalúa los procesos de recepción de mercancía</t>
  </si>
  <si>
    <t>Evalúa la organización y gestión del espacio de almacén</t>
  </si>
  <si>
    <t>Despacho</t>
  </si>
  <si>
    <t>Evalúa el proceso de alistamiento y despacho de pedidos</t>
  </si>
  <si>
    <t>Control de inventarios</t>
  </si>
  <si>
    <t>Evalúa los métodos de control y exactitud del inventario</t>
  </si>
  <si>
    <t>Gestión de la planeación</t>
  </si>
  <si>
    <t>Evalúa la capacidad de planeación de recursos del CEDI</t>
  </si>
  <si>
    <t>DIM-02</t>
  </si>
  <si>
    <t>Estructura</t>
  </si>
  <si>
    <t>IT</t>
  </si>
  <si>
    <t>Evalúa el nivel de integración tecnológica del CEDI</t>
  </si>
  <si>
    <t>Proceso</t>
  </si>
  <si>
    <t>Evalúa la documentación y estandarización de procesos</t>
  </si>
  <si>
    <t>Estructura organizacional</t>
  </si>
  <si>
    <t>Evalúa la definición de roles, SST y organización del área</t>
  </si>
  <si>
    <t>DIM-03</t>
  </si>
  <si>
    <t>KPI</t>
  </si>
  <si>
    <t>KPI Costo</t>
  </si>
  <si>
    <t>Evalúa la medición de costos logísticos del CEDI</t>
  </si>
  <si>
    <t>KPI Servicio</t>
  </si>
  <si>
    <t>Evalúa los indicadores de nivel de servicio al cliente</t>
  </si>
  <si>
    <t>KPI Inventario</t>
  </si>
  <si>
    <t>Evalúa la exactitud y control del inventario vía KPIs</t>
  </si>
  <si>
    <t>KPI Seguridad</t>
  </si>
  <si>
    <t>Evalúa la gestión de seguridad y salud en el CEDI</t>
  </si>
  <si>
    <t>Otros KPI</t>
  </si>
  <si>
    <t>Productividad y merma del CEDI</t>
  </si>
  <si>
    <t>SISTEMA DIAGNÓSTICO SUPPLY CHAIN — Banco de Preguntas</t>
  </si>
  <si>
    <t>ID Pregunta</t>
  </si>
  <si>
    <t>Texto de la pregunta</t>
  </si>
  <si>
    <t>Tipo respuesta</t>
  </si>
  <si>
    <t>Peso pregunta en dimensión (%)</t>
  </si>
  <si>
    <t>Activa</t>
  </si>
  <si>
    <t>P-01</t>
  </si>
  <si>
    <t>La operación de recibo se realiza en ciego, esto quiere decir que se cuenta la mercancía a recibir sin saber con antelación las cantidades que se están recibiendo, solo se sabe al final cuando se cuenta el total de la mercancía recibida.</t>
  </si>
  <si>
    <t>Selección única</t>
  </si>
  <si>
    <t>P-02</t>
  </si>
  <si>
    <t>Se tiene plan certificación en el recibo de proveedores, en donde se garantice las cantidades recibidas de forma que se eliminan los conteos y se confía en un 100% en la mercancía recibida según el teórico.</t>
  </si>
  <si>
    <t>P-03</t>
  </si>
  <si>
    <t>Se tienen un plan de muestreos para garantizar la calidad de la mercancía recibida.</t>
  </si>
  <si>
    <t>P-04</t>
  </si>
  <si>
    <t>Se tiene un plan de asignación de citas de proveedores para descargar los camiones que se reciben.</t>
  </si>
  <si>
    <t>P-05</t>
  </si>
  <si>
    <t>Los muelles de recibo cuentas con plataforma niveladora, las bahías tienen radio de giro adecuado para el vehículo más grande a recibir.</t>
  </si>
  <si>
    <t>P-06</t>
  </si>
  <si>
    <t>Se cuenta con iluminación y techo en el muelle de recibo para operar de noche y con lluvia.</t>
  </si>
  <si>
    <t>P-07</t>
  </si>
  <si>
    <t>La ubicación de los muelles de recibo es la adecuada para minimizar los desplazamientos dentro del CEDI. Se tiene un análisis de flujo que evalúe la localización de los muelles de recibo.</t>
  </si>
  <si>
    <t>P-08</t>
  </si>
  <si>
    <t>Se cuentan con la cantidad de muelles de recibo adecuada para atender los picos de operación.</t>
  </si>
  <si>
    <t>P-09</t>
  </si>
  <si>
    <t xml:space="preserve"> El personal que realiza el descargue de los vehículos, ¿tienen un modelo de productividad que incluya las variables de eficiencia, calidad y seguridad?</t>
  </si>
  <si>
    <t>P-10</t>
  </si>
  <si>
    <t>Se tiene implementado algún sistema automático para el proceso de descargue (rieles, robots paletizadores,…)</t>
  </si>
  <si>
    <t>P-11</t>
  </si>
  <si>
    <t>Se tiene la evaluación para identificar la forma óptima para recibir la mercancía a granel, bultos, cajas o paletizada. Se evalúa cada año.</t>
  </si>
  <si>
    <t>P-12</t>
  </si>
  <si>
    <t>Se utiliza máquinas automáticas para aplicar el stretch en el palet (también se pueden utilizar materiales alternativos como velcros pegamento)</t>
  </si>
  <si>
    <t>P-13</t>
  </si>
  <si>
    <t>En las prioridades de tareas en la bodega (WMS), ¿el proceso de recibo es el de mayor prioridad?</t>
  </si>
  <si>
    <t>P-14</t>
  </si>
  <si>
    <t>La generación de tareas es automática del sistema, se identifica por referencia y lote.</t>
  </si>
  <si>
    <t>P-15</t>
  </si>
  <si>
    <t>Se tiene un ABC que considere la rotación y popularidad para localizar cada producto en el almacén, ¿este ABC se hace y evalúa cada mes?</t>
  </si>
  <si>
    <t>P-16</t>
  </si>
  <si>
    <t>Se tiene un plan de tráfico en el CEDI, para identificar los riesgos de interacción entre máquinas y hombres.</t>
  </si>
  <si>
    <t>P-17</t>
  </si>
  <si>
    <t>Se cuenta con un estudio/vigilancia tecnológica/benchmarking para identificar los equipos de almacenamiento adecuado para los productos. Se realiza este estudio por lo menos una vez al año.</t>
  </si>
  <si>
    <t>P-18</t>
  </si>
  <si>
    <t>Se cuenta con la señalización (código por posición) correcta para el flujo de almacenamiento en toda la bodega.</t>
  </si>
  <si>
    <t>P-19</t>
  </si>
  <si>
    <t>Se tiene identificado las zonas especiales de cuarentena, control de calidad, averías (físicamente y/o en el sistema).</t>
  </si>
  <si>
    <t>P-20</t>
  </si>
  <si>
    <t>Se tiene un plan de asignación de citas de clientes para cargar los camiones que se despachan.</t>
  </si>
  <si>
    <t>P-21</t>
  </si>
  <si>
    <t>Los muelles de despacho cuentas con plataforma niveladora, las bahías tienen radio de giro adecuado para el vehículo más grande a despachar.</t>
  </si>
  <si>
    <t>P-22</t>
  </si>
  <si>
    <t>Se cuenta con iluminación y techo en el muelle de despacho para operar de noche y con lluvia.</t>
  </si>
  <si>
    <t>P-23</t>
  </si>
  <si>
    <t>La ubicación de los muelles de despacho es la adecuada para minimizar los desplazamientos dentro del CEDI. Se tiene un análisis de flujo que evalúe la localización de los muelles de despacho.</t>
  </si>
  <si>
    <t>P-24</t>
  </si>
  <si>
    <t>Se cuentan con la cantidad de muelles de despacho adecuada para atender los picos de operación.</t>
  </si>
  <si>
    <t>P-25</t>
  </si>
  <si>
    <t>El personal que realiza el cargue de los vehículos, ¿tiene un modelo de productividad que incluya las variables de eficiencia, calidad y seguridad?</t>
  </si>
  <si>
    <t>P-26</t>
  </si>
  <si>
    <t>Se tiene implementado algún sistema automático para el proceso de cargue (rieles, robots paletizadores,…)</t>
  </si>
  <si>
    <t>P-27</t>
  </si>
  <si>
    <t>P-28</t>
  </si>
  <si>
    <t>En el despacho se hace una verificación de la mercancía por cantidades, peso y/o volumen.</t>
  </si>
  <si>
    <t>P-29</t>
  </si>
  <si>
    <t>La operación de despacho se realiza en ciego, esto quiere decir que se cuenta la mercancía a despachar sin saber con antelación las cantidades que se están despachando, solo se sabe al final cuando se cuenta el total de la mercancía despachada.</t>
  </si>
  <si>
    <t>P-30</t>
  </si>
  <si>
    <t>Se realiza un slotting de las posiciones de picking y se actualiza cada mes. Este slotting busca optimizar los movimientos dentro del almacén.</t>
  </si>
  <si>
    <t>P-31</t>
  </si>
  <si>
    <t>La facturación se realiza después de que el cliente tenga toda la mercancía y la haya verificado.</t>
  </si>
  <si>
    <t>P-32</t>
  </si>
  <si>
    <t>Existe una política de inventarios.</t>
  </si>
  <si>
    <t>P-33</t>
  </si>
  <si>
    <t>Se realiza un inventario cíclico, que verifique todas las referencias al menos 1 vez al mes.</t>
  </si>
  <si>
    <t>P-34</t>
  </si>
  <si>
    <t>Cuando se identifica una diferencia en inventario (recibo o despacho), el sistema tiene la capacidad de corregir el inventario inmediatamente.</t>
  </si>
  <si>
    <t>P-35</t>
  </si>
  <si>
    <t>Se tiene un proceso de planeación diario para estimar los recursos necesarios en las bodegas en función de los despachos estimados.</t>
  </si>
  <si>
    <t>P-36</t>
  </si>
  <si>
    <t>Se tiene un WMS que gobierne todas las tareas de recibo, almacenamiento, despacho y control de inventarios dentro de la bodega.</t>
  </si>
  <si>
    <t>P-37</t>
  </si>
  <si>
    <t>Se tiene una herramienta para gestionar los muelles,  las citas de recibo y despacho (Yard Management)</t>
  </si>
  <si>
    <t>P-38</t>
  </si>
  <si>
    <t>Se miden los tiempos operativos del personal por medio del WMS. (se cuenta con la capacidad operativa del personal LMS (Labor Management System)</t>
  </si>
  <si>
    <t>P-39</t>
  </si>
  <si>
    <t>Se tiene medida la capacidad operativa de la bodega (Truput - despachos y recibos por día) en función de los recursos que tiene disponible día a día (montacargas, picking, personal de cargue y descargue)</t>
  </si>
  <si>
    <t>P-40</t>
  </si>
  <si>
    <t>El WMS cuenta con la capacidad de asignar la tarea siguiente en función del recorrido más corto y eficiente (TRM (Task and Resource Management)</t>
  </si>
  <si>
    <t>P-41</t>
  </si>
  <si>
    <t>Se tiene un modelo de desempeño que gobierne toda la operación de la bodega, para garantizar la eficiencia, calidad y seguridad.</t>
  </si>
  <si>
    <t>P-42</t>
  </si>
  <si>
    <t>El modelo de desempeño brinda en tiempo real métricas de desempeño al personal operativo.</t>
  </si>
  <si>
    <t>P-43</t>
  </si>
  <si>
    <t>Se tiene una metodología de planes de ahorros, para que el personal operativo participe en la optimización del costo (mesas KAIZEN, Mejoramiento continuo, TPM, etc)</t>
  </si>
  <si>
    <t>P-44</t>
  </si>
  <si>
    <t>Se tiene un plan de polivalencia en el CEDI. (Garantizar flexibilidad entre los operarios)</t>
  </si>
  <si>
    <t>P-45</t>
  </si>
  <si>
    <t>Se tienen documentado todos los procesos de recibo, almacenamiento, despacho y control de inventarios en el CEDI. ¿Estos procesos son actualizados una vez al año?</t>
  </si>
  <si>
    <t>P-46</t>
  </si>
  <si>
    <t>Existe un plan o proceso responsable de la planeación de capacidades y tecnologías de largo plazo del CEDI.</t>
  </si>
  <si>
    <t>P-47</t>
  </si>
  <si>
    <t>Existen metas y objetivos para cada uno de los procesos, son públicas y están actualizadas de manera constante.</t>
  </si>
  <si>
    <t>P-48</t>
  </si>
  <si>
    <t>Existe una torre de control de indicadores que permite identificar el desempeño del CEDI y el perfil de las operaciones.</t>
  </si>
  <si>
    <t>P-49</t>
  </si>
  <si>
    <t>Se tiene un plan o modelo de compensación variable para la operación del CEDI.</t>
  </si>
  <si>
    <t>P-50</t>
  </si>
  <si>
    <t>Existen roles formalmente definidos para el CEDI, con descripción de cargos acordes a sus funciones, que incluyen los tres niveles (Estratégico, táctico y operación)</t>
  </si>
  <si>
    <t>P-51</t>
  </si>
  <si>
    <t>Existe algún rol en la organización formalmente definido para llevar a cabo el desarrollo del centro de distribución así como la mejora continua.</t>
  </si>
  <si>
    <t>P-52</t>
  </si>
  <si>
    <t>Existe un programa de capacitación formal y no formal de los líderes de la operación.</t>
  </si>
  <si>
    <t>P-53</t>
  </si>
  <si>
    <t>Los líderes de la operación son suficientes y tienen el nivel de formación acorde con su responsabilidad.</t>
  </si>
  <si>
    <t>P-54</t>
  </si>
  <si>
    <t>Se tiene un proceso responsable de RESH en el CEDI.</t>
  </si>
  <si>
    <t>P-55</t>
  </si>
  <si>
    <t>Se tiene un área responsable del bienestar de los colaboradores, que está directamente involucrada en la operación (BP).</t>
  </si>
  <si>
    <t>P-56</t>
  </si>
  <si>
    <t>Costos de logística como porcentaje de las ventas + % de reintegro</t>
  </si>
  <si>
    <t>P-57</t>
  </si>
  <si>
    <t>Costo de logística /m3/unidad/kg (¨Por carro) ($ transporte+ $ almacenamiento)</t>
  </si>
  <si>
    <t>P-58</t>
  </si>
  <si>
    <t>% Costos variables</t>
  </si>
  <si>
    <t>P-59</t>
  </si>
  <si>
    <t>% Costos fijos</t>
  </si>
  <si>
    <t>P-60</t>
  </si>
  <si>
    <t>% Depreciación logística</t>
  </si>
  <si>
    <t>P-61</t>
  </si>
  <si>
    <t>Ciclo de la orden en días</t>
  </si>
  <si>
    <t>P-62</t>
  </si>
  <si>
    <t>Calidad de la orden</t>
  </si>
  <si>
    <t>P-63</t>
  </si>
  <si>
    <t>% Rechazos y devoluciones en unidades</t>
  </si>
  <si>
    <t>P-64</t>
  </si>
  <si>
    <t>Fill Rate</t>
  </si>
  <si>
    <t>P-65</t>
  </si>
  <si>
    <t>On Time</t>
  </si>
  <si>
    <t>P-66</t>
  </si>
  <si>
    <t>OTIF</t>
  </si>
  <si>
    <t>P-67</t>
  </si>
  <si>
    <t>Encuesta percepción de servicio por el cliente.</t>
  </si>
  <si>
    <t>P-68</t>
  </si>
  <si>
    <t>Exactitud del inventario en unidades.</t>
  </si>
  <si>
    <t>P-69</t>
  </si>
  <si>
    <t>Cobertura de inventarios - DIS.</t>
  </si>
  <si>
    <t>P-70</t>
  </si>
  <si>
    <t>Obsolescencia de productos.</t>
  </si>
  <si>
    <t>P-71</t>
  </si>
  <si>
    <t>Balanceo de los inventarios.</t>
  </si>
  <si>
    <t>P-72</t>
  </si>
  <si>
    <t>Cumplimiento al programa de producción.</t>
  </si>
  <si>
    <t>P-73</t>
  </si>
  <si>
    <t>Cumplimiento al programa de compras.</t>
  </si>
  <si>
    <t>P-74</t>
  </si>
  <si>
    <t>Exactitud del pronóstico MAPE.</t>
  </si>
  <si>
    <t>P-75</t>
  </si>
  <si>
    <t>Tasa de conteo del día de OSHA (Occupational Safety and Health Administration)</t>
  </si>
  <si>
    <t>P-76</t>
  </si>
  <si>
    <t>Frecuency Rate</t>
  </si>
  <si>
    <t>P-77</t>
  </si>
  <si>
    <t>Ocupación volumétrica del camión</t>
  </si>
  <si>
    <t>P-78</t>
  </si>
  <si>
    <t>Rotación del personal de logística</t>
  </si>
  <si>
    <t>SISTEMA DIAGNÓSTICO SUPPLY CHAIN — Opciones de Respuesta · Escala 0–5</t>
  </si>
  <si>
    <t>Zonalogística · LogiAnalítica  |  0=Inexistente · 1=Muy incipiente · 2=Básico · 3=En desarrollo · 4=Avanzado · 5=Óptimo</t>
  </si>
  <si>
    <t>ID Opción</t>
  </si>
  <si>
    <t>Nivel (0-5)</t>
  </si>
  <si>
    <t>Puntaje (0-100)</t>
  </si>
  <si>
    <t>Etiqueta de madurez</t>
  </si>
  <si>
    <t>Guía para el cliente</t>
  </si>
  <si>
    <t>Color semáforo</t>
  </si>
  <si>
    <t>Impacto estimado</t>
  </si>
  <si>
    <t>Notas</t>
  </si>
  <si>
    <t>OP-001</t>
  </si>
  <si>
    <t>Inexistente</t>
  </si>
  <si>
    <t>Seleccione 0 si: [Descripción guia]</t>
  </si>
  <si>
    <t>Rojo</t>
  </si>
  <si>
    <t>Muy alto</t>
  </si>
  <si>
    <t>OP-002</t>
  </si>
  <si>
    <t>Muy incipiente</t>
  </si>
  <si>
    <t>Seleccione 1 si: [Descripción guia]</t>
  </si>
  <si>
    <t>Alto</t>
  </si>
  <si>
    <t>OP-003</t>
  </si>
  <si>
    <t>Básico</t>
  </si>
  <si>
    <t>Seleccione 2 si: [Descripción guia]</t>
  </si>
  <si>
    <t>OP-004</t>
  </si>
  <si>
    <t>En desarrollo</t>
  </si>
  <si>
    <t>Seleccione 3 si: [Descripción guia]</t>
  </si>
  <si>
    <t>Amarillo</t>
  </si>
  <si>
    <t>Medio</t>
  </si>
  <si>
    <t>OP-005</t>
  </si>
  <si>
    <t>Avanzado</t>
  </si>
  <si>
    <t>Seleccione 4 si: [Descripción guia]</t>
  </si>
  <si>
    <t>Bajo</t>
  </si>
  <si>
    <t>OP-006</t>
  </si>
  <si>
    <t>Óptimo</t>
  </si>
  <si>
    <t>Seleccione 5 si: [Descripción guia]</t>
  </si>
  <si>
    <t>Verde</t>
  </si>
  <si>
    <t>—</t>
  </si>
  <si>
    <t>OP-007</t>
  </si>
  <si>
    <t>OP-008</t>
  </si>
  <si>
    <t>OP-009</t>
  </si>
  <si>
    <t>OP-010</t>
  </si>
  <si>
    <t>OP-011</t>
  </si>
  <si>
    <t>OP-012</t>
  </si>
  <si>
    <t>OP-013</t>
  </si>
  <si>
    <t>OP-014</t>
  </si>
  <si>
    <t>OP-015</t>
  </si>
  <si>
    <t>OP-016</t>
  </si>
  <si>
    <t>OP-017</t>
  </si>
  <si>
    <t>OP-018</t>
  </si>
  <si>
    <t>OP-019</t>
  </si>
  <si>
    <t>OP-020</t>
  </si>
  <si>
    <t>OP-021</t>
  </si>
  <si>
    <t>OP-022</t>
  </si>
  <si>
    <t>OP-023</t>
  </si>
  <si>
    <t>OP-024</t>
  </si>
  <si>
    <t>OP-025</t>
  </si>
  <si>
    <t>OP-026</t>
  </si>
  <si>
    <t>OP-027</t>
  </si>
  <si>
    <t>OP-028</t>
  </si>
  <si>
    <t>OP-029</t>
  </si>
  <si>
    <t>OP-030</t>
  </si>
  <si>
    <t>OP-031</t>
  </si>
  <si>
    <t>OP-032</t>
  </si>
  <si>
    <t>OP-033</t>
  </si>
  <si>
    <t>OP-034</t>
  </si>
  <si>
    <t>OP-035</t>
  </si>
  <si>
    <t>OP-036</t>
  </si>
  <si>
    <t>OP-037</t>
  </si>
  <si>
    <t>OP-038</t>
  </si>
  <si>
    <t>OP-039</t>
  </si>
  <si>
    <t>OP-040</t>
  </si>
  <si>
    <t>OP-041</t>
  </si>
  <si>
    <t>OP-042</t>
  </si>
  <si>
    <t>OP-043</t>
  </si>
  <si>
    <t>OP-044</t>
  </si>
  <si>
    <t>OP-045</t>
  </si>
  <si>
    <t>OP-046</t>
  </si>
  <si>
    <t>OP-047</t>
  </si>
  <si>
    <t>OP-048</t>
  </si>
  <si>
    <t>OP-049</t>
  </si>
  <si>
    <t>OP-050</t>
  </si>
  <si>
    <t>OP-051</t>
  </si>
  <si>
    <t>OP-052</t>
  </si>
  <si>
    <t>OP-053</t>
  </si>
  <si>
    <t>OP-054</t>
  </si>
  <si>
    <t>OP-055</t>
  </si>
  <si>
    <t>OP-056</t>
  </si>
  <si>
    <t>OP-057</t>
  </si>
  <si>
    <t>OP-058</t>
  </si>
  <si>
    <t>OP-059</t>
  </si>
  <si>
    <t>OP-060</t>
  </si>
  <si>
    <t>OP-061</t>
  </si>
  <si>
    <t>OP-062</t>
  </si>
  <si>
    <t>OP-063</t>
  </si>
  <si>
    <t>OP-064</t>
  </si>
  <si>
    <t>OP-065</t>
  </si>
  <si>
    <t>OP-066</t>
  </si>
  <si>
    <t>OP-067</t>
  </si>
  <si>
    <t>OP-068</t>
  </si>
  <si>
    <t>OP-069</t>
  </si>
  <si>
    <t>OP-070</t>
  </si>
  <si>
    <t>OP-071</t>
  </si>
  <si>
    <t>OP-072</t>
  </si>
  <si>
    <t>OP-073</t>
  </si>
  <si>
    <t>OP-074</t>
  </si>
  <si>
    <t>OP-075</t>
  </si>
  <si>
    <t>OP-076</t>
  </si>
  <si>
    <t>OP-077</t>
  </si>
  <si>
    <t>OP-078</t>
  </si>
  <si>
    <t>OP-079</t>
  </si>
  <si>
    <t>OP-080</t>
  </si>
  <si>
    <t>OP-081</t>
  </si>
  <si>
    <t>OP-082</t>
  </si>
  <si>
    <t>OP-083</t>
  </si>
  <si>
    <t>OP-084</t>
  </si>
  <si>
    <t>OP-085</t>
  </si>
  <si>
    <t>OP-086</t>
  </si>
  <si>
    <t>OP-087</t>
  </si>
  <si>
    <t>OP-088</t>
  </si>
  <si>
    <t>OP-089</t>
  </si>
  <si>
    <t>OP-090</t>
  </si>
  <si>
    <t>OP-091</t>
  </si>
  <si>
    <t>OP-092</t>
  </si>
  <si>
    <t>OP-093</t>
  </si>
  <si>
    <t>OP-094</t>
  </si>
  <si>
    <t>OP-095</t>
  </si>
  <si>
    <t>OP-096</t>
  </si>
  <si>
    <t>OP-097</t>
  </si>
  <si>
    <t>OP-098</t>
  </si>
  <si>
    <t>OP-099</t>
  </si>
  <si>
    <t>OP-100</t>
  </si>
  <si>
    <t>OP-101</t>
  </si>
  <si>
    <t>OP-102</t>
  </si>
  <si>
    <t>OP-103</t>
  </si>
  <si>
    <t>OP-104</t>
  </si>
  <si>
    <t>OP-105</t>
  </si>
  <si>
    <t>OP-106</t>
  </si>
  <si>
    <t>OP-107</t>
  </si>
  <si>
    <t>OP-108</t>
  </si>
  <si>
    <t>OP-109</t>
  </si>
  <si>
    <t>OP-110</t>
  </si>
  <si>
    <t>OP-111</t>
  </si>
  <si>
    <t>OP-112</t>
  </si>
  <si>
    <t>OP-113</t>
  </si>
  <si>
    <t>OP-114</t>
  </si>
  <si>
    <t>OP-115</t>
  </si>
  <si>
    <t>OP-116</t>
  </si>
  <si>
    <t>OP-117</t>
  </si>
  <si>
    <t>OP-118</t>
  </si>
  <si>
    <t>OP-119</t>
  </si>
  <si>
    <t>OP-120</t>
  </si>
  <si>
    <t>OP-121</t>
  </si>
  <si>
    <t>OP-122</t>
  </si>
  <si>
    <t>OP-123</t>
  </si>
  <si>
    <t>OP-124</t>
  </si>
  <si>
    <t>OP-125</t>
  </si>
  <si>
    <t>OP-126</t>
  </si>
  <si>
    <t>OP-127</t>
  </si>
  <si>
    <t>OP-128</t>
  </si>
  <si>
    <t>OP-129</t>
  </si>
  <si>
    <t>OP-130</t>
  </si>
  <si>
    <t>OP-131</t>
  </si>
  <si>
    <t>OP-132</t>
  </si>
  <si>
    <t>OP-133</t>
  </si>
  <si>
    <t>OP-134</t>
  </si>
  <si>
    <t>OP-135</t>
  </si>
  <si>
    <t>OP-136</t>
  </si>
  <si>
    <t>OP-137</t>
  </si>
  <si>
    <t>OP-138</t>
  </si>
  <si>
    <t>OP-139</t>
  </si>
  <si>
    <t>OP-140</t>
  </si>
  <si>
    <t>OP-141</t>
  </si>
  <si>
    <t>OP-142</t>
  </si>
  <si>
    <t>OP-143</t>
  </si>
  <si>
    <t>OP-144</t>
  </si>
  <si>
    <t>OP-145</t>
  </si>
  <si>
    <t>OP-146</t>
  </si>
  <si>
    <t>OP-147</t>
  </si>
  <si>
    <t>OP-148</t>
  </si>
  <si>
    <t>OP-149</t>
  </si>
  <si>
    <t>OP-150</t>
  </si>
  <si>
    <t>OP-151</t>
  </si>
  <si>
    <t>OP-152</t>
  </si>
  <si>
    <t>OP-153</t>
  </si>
  <si>
    <t>OP-154</t>
  </si>
  <si>
    <t>OP-155</t>
  </si>
  <si>
    <t>OP-156</t>
  </si>
  <si>
    <t>OP-157</t>
  </si>
  <si>
    <t>OP-158</t>
  </si>
  <si>
    <t>OP-159</t>
  </si>
  <si>
    <t>OP-160</t>
  </si>
  <si>
    <t>OP-161</t>
  </si>
  <si>
    <t>OP-162</t>
  </si>
  <si>
    <t>OP-163</t>
  </si>
  <si>
    <t>OP-164</t>
  </si>
  <si>
    <t>OP-165</t>
  </si>
  <si>
    <t>OP-166</t>
  </si>
  <si>
    <t>OP-167</t>
  </si>
  <si>
    <t>OP-168</t>
  </si>
  <si>
    <t>OP-169</t>
  </si>
  <si>
    <t>OP-170</t>
  </si>
  <si>
    <t>OP-171</t>
  </si>
  <si>
    <t>OP-172</t>
  </si>
  <si>
    <t>OP-173</t>
  </si>
  <si>
    <t>OP-174</t>
  </si>
  <si>
    <t>OP-175</t>
  </si>
  <si>
    <t>OP-176</t>
  </si>
  <si>
    <t>OP-177</t>
  </si>
  <si>
    <t>OP-178</t>
  </si>
  <si>
    <t>OP-179</t>
  </si>
  <si>
    <t>OP-180</t>
  </si>
  <si>
    <t>OP-181</t>
  </si>
  <si>
    <t>OP-182</t>
  </si>
  <si>
    <t>OP-183</t>
  </si>
  <si>
    <t>OP-184</t>
  </si>
  <si>
    <t>OP-185</t>
  </si>
  <si>
    <t>OP-186</t>
  </si>
  <si>
    <t>OP-187</t>
  </si>
  <si>
    <t>OP-188</t>
  </si>
  <si>
    <t>OP-189</t>
  </si>
  <si>
    <t>OP-190</t>
  </si>
  <si>
    <t>OP-191</t>
  </si>
  <si>
    <t>OP-192</t>
  </si>
  <si>
    <t>OP-193</t>
  </si>
  <si>
    <t>OP-194</t>
  </si>
  <si>
    <t>OP-195</t>
  </si>
  <si>
    <t>OP-196</t>
  </si>
  <si>
    <t>OP-197</t>
  </si>
  <si>
    <t>OP-198</t>
  </si>
  <si>
    <t>OP-199</t>
  </si>
  <si>
    <t>OP-200</t>
  </si>
  <si>
    <t>OP-201</t>
  </si>
  <si>
    <t>OP-202</t>
  </si>
  <si>
    <t>OP-203</t>
  </si>
  <si>
    <t>OP-204</t>
  </si>
  <si>
    <t>OP-205</t>
  </si>
  <si>
    <t>OP-206</t>
  </si>
  <si>
    <t>OP-207</t>
  </si>
  <si>
    <t>OP-208</t>
  </si>
  <si>
    <t>OP-209</t>
  </si>
  <si>
    <t>OP-210</t>
  </si>
  <si>
    <t>OP-211</t>
  </si>
  <si>
    <t>OP-212</t>
  </si>
  <si>
    <t>OP-213</t>
  </si>
  <si>
    <t>OP-214</t>
  </si>
  <si>
    <t>OP-215</t>
  </si>
  <si>
    <t>OP-216</t>
  </si>
  <si>
    <t>OP-217</t>
  </si>
  <si>
    <t>OP-218</t>
  </si>
  <si>
    <t>OP-219</t>
  </si>
  <si>
    <t>OP-220</t>
  </si>
  <si>
    <t>OP-221</t>
  </si>
  <si>
    <t>OP-222</t>
  </si>
  <si>
    <t>OP-223</t>
  </si>
  <si>
    <t>OP-224</t>
  </si>
  <si>
    <t>OP-225</t>
  </si>
  <si>
    <t>OP-226</t>
  </si>
  <si>
    <t>OP-227</t>
  </si>
  <si>
    <t>OP-228</t>
  </si>
  <si>
    <t>OP-229</t>
  </si>
  <si>
    <t>OP-230</t>
  </si>
  <si>
    <t>OP-231</t>
  </si>
  <si>
    <t>OP-232</t>
  </si>
  <si>
    <t>OP-233</t>
  </si>
  <si>
    <t>OP-234</t>
  </si>
  <si>
    <t>OP-235</t>
  </si>
  <si>
    <t>OP-236</t>
  </si>
  <si>
    <t>OP-237</t>
  </si>
  <si>
    <t>OP-238</t>
  </si>
  <si>
    <t>OP-239</t>
  </si>
  <si>
    <t>OP-240</t>
  </si>
  <si>
    <t>OP-241</t>
  </si>
  <si>
    <t>OP-242</t>
  </si>
  <si>
    <t>OP-243</t>
  </si>
  <si>
    <t>OP-244</t>
  </si>
  <si>
    <t>OP-245</t>
  </si>
  <si>
    <t>OP-246</t>
  </si>
  <si>
    <t>OP-247</t>
  </si>
  <si>
    <t>OP-248</t>
  </si>
  <si>
    <t>OP-249</t>
  </si>
  <si>
    <t>OP-250</t>
  </si>
  <si>
    <t>OP-251</t>
  </si>
  <si>
    <t>OP-252</t>
  </si>
  <si>
    <t>OP-253</t>
  </si>
  <si>
    <t>OP-254</t>
  </si>
  <si>
    <t>OP-255</t>
  </si>
  <si>
    <t>OP-256</t>
  </si>
  <si>
    <t>OP-257</t>
  </si>
  <si>
    <t>OP-258</t>
  </si>
  <si>
    <t>OP-259</t>
  </si>
  <si>
    <t>OP-260</t>
  </si>
  <si>
    <t>OP-261</t>
  </si>
  <si>
    <t>OP-262</t>
  </si>
  <si>
    <t>OP-263</t>
  </si>
  <si>
    <t>OP-264</t>
  </si>
  <si>
    <t>OP-265</t>
  </si>
  <si>
    <t>OP-266</t>
  </si>
  <si>
    <t>OP-267</t>
  </si>
  <si>
    <t>OP-268</t>
  </si>
  <si>
    <t>OP-269</t>
  </si>
  <si>
    <t>OP-270</t>
  </si>
  <si>
    <t>OP-271</t>
  </si>
  <si>
    <t>OP-272</t>
  </si>
  <si>
    <t>OP-273</t>
  </si>
  <si>
    <t>OP-274</t>
  </si>
  <si>
    <t>OP-275</t>
  </si>
  <si>
    <t>OP-276</t>
  </si>
  <si>
    <t>OP-277</t>
  </si>
  <si>
    <t>OP-278</t>
  </si>
  <si>
    <t>OP-279</t>
  </si>
  <si>
    <t>OP-280</t>
  </si>
  <si>
    <t>OP-281</t>
  </si>
  <si>
    <t>OP-282</t>
  </si>
  <si>
    <t>OP-283</t>
  </si>
  <si>
    <t>OP-284</t>
  </si>
  <si>
    <t>OP-285</t>
  </si>
  <si>
    <t>OP-286</t>
  </si>
  <si>
    <t>OP-287</t>
  </si>
  <si>
    <t>OP-288</t>
  </si>
  <si>
    <t>OP-289</t>
  </si>
  <si>
    <t>OP-290</t>
  </si>
  <si>
    <t>OP-291</t>
  </si>
  <si>
    <t>OP-292</t>
  </si>
  <si>
    <t>OP-293</t>
  </si>
  <si>
    <t>OP-294</t>
  </si>
  <si>
    <t>OP-295</t>
  </si>
  <si>
    <t>OP-296</t>
  </si>
  <si>
    <t>OP-297</t>
  </si>
  <si>
    <t>OP-298</t>
  </si>
  <si>
    <t>OP-299</t>
  </si>
  <si>
    <t>OP-300</t>
  </si>
  <si>
    <t>OP-301</t>
  </si>
  <si>
    <t>OP-302</t>
  </si>
  <si>
    <t>OP-303</t>
  </si>
  <si>
    <t>OP-304</t>
  </si>
  <si>
    <t>OP-305</t>
  </si>
  <si>
    <t>OP-306</t>
  </si>
  <si>
    <t>OP-307</t>
  </si>
  <si>
    <t>OP-308</t>
  </si>
  <si>
    <t>OP-309</t>
  </si>
  <si>
    <t>OP-310</t>
  </si>
  <si>
    <t>OP-311</t>
  </si>
  <si>
    <t>OP-312</t>
  </si>
  <si>
    <t>OP-313</t>
  </si>
  <si>
    <t>OP-314</t>
  </si>
  <si>
    <t>OP-315</t>
  </si>
  <si>
    <t>OP-316</t>
  </si>
  <si>
    <t>OP-317</t>
  </si>
  <si>
    <t>OP-318</t>
  </si>
  <si>
    <t>OP-319</t>
  </si>
  <si>
    <t>OP-320</t>
  </si>
  <si>
    <t>OP-321</t>
  </si>
  <si>
    <t>OP-322</t>
  </si>
  <si>
    <t>OP-323</t>
  </si>
  <si>
    <t>OP-324</t>
  </si>
  <si>
    <t>OP-325</t>
  </si>
  <si>
    <t>OP-326</t>
  </si>
  <si>
    <t>OP-327</t>
  </si>
  <si>
    <t>OP-328</t>
  </si>
  <si>
    <t>OP-329</t>
  </si>
  <si>
    <t>OP-330</t>
  </si>
  <si>
    <t>OP-331</t>
  </si>
  <si>
    <t>OP-332</t>
  </si>
  <si>
    <t>OP-333</t>
  </si>
  <si>
    <t>OP-334</t>
  </si>
  <si>
    <t>OP-335</t>
  </si>
  <si>
    <t>OP-336</t>
  </si>
  <si>
    <t>OP-337</t>
  </si>
  <si>
    <t>OP-338</t>
  </si>
  <si>
    <t>OP-339</t>
  </si>
  <si>
    <t>OP-340</t>
  </si>
  <si>
    <t>OP-341</t>
  </si>
  <si>
    <t>OP-342</t>
  </si>
  <si>
    <t>OP-343</t>
  </si>
  <si>
    <t>OP-344</t>
  </si>
  <si>
    <t>OP-345</t>
  </si>
  <si>
    <t>OP-346</t>
  </si>
  <si>
    <t>OP-347</t>
  </si>
  <si>
    <t>OP-348</t>
  </si>
  <si>
    <t>OP-349</t>
  </si>
  <si>
    <t>OP-350</t>
  </si>
  <si>
    <t>OP-351</t>
  </si>
  <si>
    <t>OP-352</t>
  </si>
  <si>
    <t>OP-353</t>
  </si>
  <si>
    <t>OP-354</t>
  </si>
  <si>
    <t>OP-355</t>
  </si>
  <si>
    <t>OP-356</t>
  </si>
  <si>
    <t>OP-357</t>
  </si>
  <si>
    <t>OP-358</t>
  </si>
  <si>
    <t>OP-359</t>
  </si>
  <si>
    <t>OP-360</t>
  </si>
  <si>
    <t>OP-361</t>
  </si>
  <si>
    <t>OP-362</t>
  </si>
  <si>
    <t>OP-363</t>
  </si>
  <si>
    <t>OP-364</t>
  </si>
  <si>
    <t>OP-365</t>
  </si>
  <si>
    <t>OP-366</t>
  </si>
  <si>
    <t>OP-367</t>
  </si>
  <si>
    <t>OP-368</t>
  </si>
  <si>
    <t>OP-369</t>
  </si>
  <si>
    <t>OP-370</t>
  </si>
  <si>
    <t>OP-371</t>
  </si>
  <si>
    <t>OP-372</t>
  </si>
  <si>
    <t>OP-373</t>
  </si>
  <si>
    <t>OP-374</t>
  </si>
  <si>
    <t>OP-375</t>
  </si>
  <si>
    <t>OP-376</t>
  </si>
  <si>
    <t>OP-377</t>
  </si>
  <si>
    <t>OP-378</t>
  </si>
  <si>
    <t>OP-379</t>
  </si>
  <si>
    <t>OP-380</t>
  </si>
  <si>
    <t>OP-381</t>
  </si>
  <si>
    <t>OP-382</t>
  </si>
  <si>
    <t>OP-383</t>
  </si>
  <si>
    <t>OP-384</t>
  </si>
  <si>
    <t>OP-385</t>
  </si>
  <si>
    <t>OP-386</t>
  </si>
  <si>
    <t>OP-387</t>
  </si>
  <si>
    <t>OP-388</t>
  </si>
  <si>
    <t>OP-389</t>
  </si>
  <si>
    <t>OP-390</t>
  </si>
  <si>
    <t>OP-391</t>
  </si>
  <si>
    <t>OP-392</t>
  </si>
  <si>
    <t>OP-393</t>
  </si>
  <si>
    <t>OP-394</t>
  </si>
  <si>
    <t>OP-395</t>
  </si>
  <si>
    <t>OP-396</t>
  </si>
  <si>
    <t>OP-397</t>
  </si>
  <si>
    <t>OP-398</t>
  </si>
  <si>
    <t>OP-399</t>
  </si>
  <si>
    <t>OP-400</t>
  </si>
  <si>
    <t>OP-401</t>
  </si>
  <si>
    <t>OP-402</t>
  </si>
  <si>
    <t>OP-403</t>
  </si>
  <si>
    <t>OP-404</t>
  </si>
  <si>
    <t>OP-405</t>
  </si>
  <si>
    <t>OP-406</t>
  </si>
  <si>
    <t>OP-407</t>
  </si>
  <si>
    <t>OP-408</t>
  </si>
  <si>
    <t>OP-409</t>
  </si>
  <si>
    <t>OP-410</t>
  </si>
  <si>
    <t>OP-411</t>
  </si>
  <si>
    <t>OP-412</t>
  </si>
  <si>
    <t>OP-413</t>
  </si>
  <si>
    <t>OP-414</t>
  </si>
  <si>
    <t>OP-415</t>
  </si>
  <si>
    <t>OP-416</t>
  </si>
  <si>
    <t>OP-417</t>
  </si>
  <si>
    <t>OP-418</t>
  </si>
  <si>
    <t>OP-419</t>
  </si>
  <si>
    <t>OP-420</t>
  </si>
  <si>
    <t>OP-421</t>
  </si>
  <si>
    <t>OP-422</t>
  </si>
  <si>
    <t>OP-423</t>
  </si>
  <si>
    <t>OP-424</t>
  </si>
  <si>
    <t>OP-425</t>
  </si>
  <si>
    <t>OP-426</t>
  </si>
  <si>
    <t>OP-427</t>
  </si>
  <si>
    <t>OP-428</t>
  </si>
  <si>
    <t>OP-429</t>
  </si>
  <si>
    <t>OP-430</t>
  </si>
  <si>
    <t>OP-431</t>
  </si>
  <si>
    <t>OP-432</t>
  </si>
  <si>
    <t>OP-433</t>
  </si>
  <si>
    <t>OP-434</t>
  </si>
  <si>
    <t>OP-435</t>
  </si>
  <si>
    <t>OP-436</t>
  </si>
  <si>
    <t>OP-437</t>
  </si>
  <si>
    <t>OP-438</t>
  </si>
  <si>
    <t>OP-439</t>
  </si>
  <si>
    <t>OP-440</t>
  </si>
  <si>
    <t>OP-441</t>
  </si>
  <si>
    <t>OP-442</t>
  </si>
  <si>
    <t>OP-443</t>
  </si>
  <si>
    <t>OP-444</t>
  </si>
  <si>
    <t>OP-445</t>
  </si>
  <si>
    <t>OP-446</t>
  </si>
  <si>
    <t>OP-447</t>
  </si>
  <si>
    <t>OP-448</t>
  </si>
  <si>
    <t>OP-449</t>
  </si>
  <si>
    <t>OP-450</t>
  </si>
  <si>
    <t>OP-451</t>
  </si>
  <si>
    <t>OP-452</t>
  </si>
  <si>
    <t>OP-453</t>
  </si>
  <si>
    <t>OP-454</t>
  </si>
  <si>
    <t>OP-455</t>
  </si>
  <si>
    <t>OP-456</t>
  </si>
  <si>
    <t>OP-457</t>
  </si>
  <si>
    <t>OP-458</t>
  </si>
  <si>
    <t>OP-459</t>
  </si>
  <si>
    <t>OP-460</t>
  </si>
  <si>
    <t>OP-461</t>
  </si>
  <si>
    <t>OP-462</t>
  </si>
  <si>
    <t>OP-463</t>
  </si>
  <si>
    <t>OP-464</t>
  </si>
  <si>
    <t>OP-465</t>
  </si>
  <si>
    <t>OP-466</t>
  </si>
  <si>
    <t>OP-467</t>
  </si>
  <si>
    <t>OP-468</t>
  </si>
  <si>
    <t>SISTEMA DIAGNÓSTICO SUPPLY CHAIN — Estrategias de Mejora por Brecha</t>
  </si>
  <si>
    <t>ID Estrategia</t>
  </si>
  <si>
    <t>Rango puntaje mín.</t>
  </si>
  <si>
    <t>Rango puntaje máx.</t>
  </si>
  <si>
    <t>Nivel de brecha</t>
  </si>
  <si>
    <t>Estrategia recomendada</t>
  </si>
  <si>
    <t>Plazo sugerido</t>
  </si>
  <si>
    <t>EST-001</t>
  </si>
  <si>
    <t>Crítica</t>
  </si>
  <si>
    <t>Corto plazo</t>
  </si>
  <si>
    <t>EST-002</t>
  </si>
  <si>
    <t>Moderada</t>
  </si>
  <si>
    <t>Mediano plazo</t>
  </si>
  <si>
    <t>EST-003</t>
  </si>
  <si>
    <t>Leve</t>
  </si>
  <si>
    <t>EST-004</t>
  </si>
  <si>
    <t>EST-005</t>
  </si>
  <si>
    <t>EST-006</t>
  </si>
  <si>
    <t>EST-007</t>
  </si>
  <si>
    <t>EST-008</t>
  </si>
  <si>
    <t>EST-009</t>
  </si>
  <si>
    <t>Largo plazo</t>
  </si>
  <si>
    <t>EST-010</t>
  </si>
  <si>
    <t>EST-011</t>
  </si>
  <si>
    <t>EST-012</t>
  </si>
  <si>
    <t>EST-013</t>
  </si>
  <si>
    <t>EST-014</t>
  </si>
  <si>
    <t>EST-015</t>
  </si>
  <si>
    <t>EST-016</t>
  </si>
  <si>
    <t>EST-017</t>
  </si>
  <si>
    <t>EST-018</t>
  </si>
  <si>
    <t>EST-019</t>
  </si>
  <si>
    <t>EST-020</t>
  </si>
  <si>
    <t>EST-021</t>
  </si>
  <si>
    <t>EST-022</t>
  </si>
  <si>
    <t>EST-023</t>
  </si>
  <si>
    <t>EST-024</t>
  </si>
  <si>
    <t>EST-025</t>
  </si>
  <si>
    <t>EST-026</t>
  </si>
  <si>
    <t>EST-027</t>
  </si>
  <si>
    <t>EST-028</t>
  </si>
  <si>
    <t>EST-029</t>
  </si>
  <si>
    <t>EST-030</t>
  </si>
  <si>
    <t>EST-031</t>
  </si>
  <si>
    <t>EST-032</t>
  </si>
  <si>
    <t>EST-033</t>
  </si>
  <si>
    <t>EST-034</t>
  </si>
  <si>
    <t>EST-035</t>
  </si>
  <si>
    <t>EST-036</t>
  </si>
  <si>
    <t>EST-037</t>
  </si>
  <si>
    <t>EST-038</t>
  </si>
  <si>
    <t>EST-039</t>
  </si>
  <si>
    <t>EST-040</t>
  </si>
  <si>
    <t>EST-041</t>
  </si>
  <si>
    <t>EST-042</t>
  </si>
  <si>
    <t>EST-043</t>
  </si>
  <si>
    <t>EST-044</t>
  </si>
  <si>
    <t>EST-045</t>
  </si>
  <si>
    <t>EST-046</t>
  </si>
  <si>
    <t>EST-047</t>
  </si>
  <si>
    <t>EST-048</t>
  </si>
  <si>
    <t>EST-049</t>
  </si>
  <si>
    <t>EST-050</t>
  </si>
  <si>
    <t>EST-051</t>
  </si>
  <si>
    <t>EST-052</t>
  </si>
  <si>
    <t>EST-053</t>
  </si>
  <si>
    <t>EST-054</t>
  </si>
  <si>
    <t>EST-055</t>
  </si>
  <si>
    <t>EST-056</t>
  </si>
  <si>
    <t>EST-057</t>
  </si>
  <si>
    <t>EST-058</t>
  </si>
  <si>
    <t>EST-059</t>
  </si>
  <si>
    <t>EST-060</t>
  </si>
  <si>
    <t>EST-061</t>
  </si>
  <si>
    <t>EST-062</t>
  </si>
  <si>
    <t>EST-063</t>
  </si>
  <si>
    <t>EST-064</t>
  </si>
  <si>
    <t>[Descripción de estrategia recomendada]</t>
  </si>
  <si>
    <t>EST-065</t>
  </si>
  <si>
    <t>EST-066</t>
  </si>
  <si>
    <t>EST-067</t>
  </si>
  <si>
    <t>EST-068</t>
  </si>
  <si>
    <t>EST-069</t>
  </si>
  <si>
    <t>EST-070</t>
  </si>
  <si>
    <t>EST-071</t>
  </si>
  <si>
    <t>EST-072</t>
  </si>
  <si>
    <t>EST-073</t>
  </si>
  <si>
    <t>EST-074</t>
  </si>
  <si>
    <t>EST-075</t>
  </si>
  <si>
    <t>EST-076</t>
  </si>
  <si>
    <t>EST-077</t>
  </si>
  <si>
    <t>EST-078</t>
  </si>
  <si>
    <t>EST-079</t>
  </si>
  <si>
    <t>EST-080</t>
  </si>
  <si>
    <t>EST-081</t>
  </si>
  <si>
    <t>EST-082</t>
  </si>
  <si>
    <t>EST-083</t>
  </si>
  <si>
    <t>EST-084</t>
  </si>
  <si>
    <t>EST-085</t>
  </si>
  <si>
    <t>EST-086</t>
  </si>
  <si>
    <t>EST-087</t>
  </si>
  <si>
    <t>EST-088</t>
  </si>
  <si>
    <t>EST-089</t>
  </si>
  <si>
    <t>EST-090</t>
  </si>
  <si>
    <t>EST-091</t>
  </si>
  <si>
    <t>EST-092</t>
  </si>
  <si>
    <t>EST-093</t>
  </si>
  <si>
    <t>EST-094</t>
  </si>
  <si>
    <t>EST-095</t>
  </si>
  <si>
    <t>EST-096</t>
  </si>
  <si>
    <t>EST-097</t>
  </si>
  <si>
    <t>EST-098</t>
  </si>
  <si>
    <t>EST-099</t>
  </si>
  <si>
    <t>EST-100</t>
  </si>
  <si>
    <t>EST-101</t>
  </si>
  <si>
    <t>EST-102</t>
  </si>
  <si>
    <t>EST-103</t>
  </si>
  <si>
    <t>EST-104</t>
  </si>
  <si>
    <t>EST-105</t>
  </si>
  <si>
    <t>EST-106</t>
  </si>
  <si>
    <t>EST-107</t>
  </si>
  <si>
    <t>EST-108</t>
  </si>
  <si>
    <t>EST-109</t>
  </si>
  <si>
    <t>EST-110</t>
  </si>
  <si>
    <t>EST-111</t>
  </si>
  <si>
    <t>EST-112</t>
  </si>
  <si>
    <t>EST-113</t>
  </si>
  <si>
    <t>EST-114</t>
  </si>
  <si>
    <t>EST-115</t>
  </si>
  <si>
    <t>EST-116</t>
  </si>
  <si>
    <t>EST-117</t>
  </si>
  <si>
    <t>EST-118</t>
  </si>
  <si>
    <t>EST-119</t>
  </si>
  <si>
    <t>EST-120</t>
  </si>
  <si>
    <t>EST-121</t>
  </si>
  <si>
    <t>EST-122</t>
  </si>
  <si>
    <t>EST-123</t>
  </si>
  <si>
    <t>EST-124</t>
  </si>
  <si>
    <t>EST-125</t>
  </si>
  <si>
    <t>EST-126</t>
  </si>
  <si>
    <t>EST-127</t>
  </si>
  <si>
    <t>EST-128</t>
  </si>
  <si>
    <t>EST-129</t>
  </si>
  <si>
    <t>EST-130</t>
  </si>
  <si>
    <t>EST-131</t>
  </si>
  <si>
    <t>EST-132</t>
  </si>
  <si>
    <t>EST-133</t>
  </si>
  <si>
    <t>EST-134</t>
  </si>
  <si>
    <t>EST-135</t>
  </si>
  <si>
    <t>EST-136</t>
  </si>
  <si>
    <t>EST-137</t>
  </si>
  <si>
    <t>EST-138</t>
  </si>
  <si>
    <t>EST-139</t>
  </si>
  <si>
    <t>EST-140</t>
  </si>
  <si>
    <t>EST-141</t>
  </si>
  <si>
    <t>EST-142</t>
  </si>
  <si>
    <t>EST-143</t>
  </si>
  <si>
    <t>EST-144</t>
  </si>
  <si>
    <t>EST-145</t>
  </si>
  <si>
    <t>EST-146</t>
  </si>
  <si>
    <t>EST-147</t>
  </si>
  <si>
    <t>EST-148</t>
  </si>
  <si>
    <t>EST-149</t>
  </si>
  <si>
    <t>EST-150</t>
  </si>
  <si>
    <t>EST-151</t>
  </si>
  <si>
    <t>EST-152</t>
  </si>
  <si>
    <t>EST-153</t>
  </si>
  <si>
    <t>EST-154</t>
  </si>
  <si>
    <t>EST-155</t>
  </si>
  <si>
    <t>EST-156</t>
  </si>
  <si>
    <t>EST-157</t>
  </si>
  <si>
    <t>EST-158</t>
  </si>
  <si>
    <t>EST-159</t>
  </si>
  <si>
    <t>EST-160</t>
  </si>
  <si>
    <t>EST-161</t>
  </si>
  <si>
    <t>EST-162</t>
  </si>
  <si>
    <t>EST-163</t>
  </si>
  <si>
    <t>EST-164</t>
  </si>
  <si>
    <t>EST-165</t>
  </si>
  <si>
    <t>EST-166</t>
  </si>
  <si>
    <t>EST-167</t>
  </si>
  <si>
    <t>EST-168</t>
  </si>
  <si>
    <t>EST-169</t>
  </si>
  <si>
    <t>EST-170</t>
  </si>
  <si>
    <t>EST-171</t>
  </si>
  <si>
    <t>EST-172</t>
  </si>
  <si>
    <t>EST-173</t>
  </si>
  <si>
    <t>EST-174</t>
  </si>
  <si>
    <t>EST-175</t>
  </si>
  <si>
    <t>EST-176</t>
  </si>
  <si>
    <t>EST-177</t>
  </si>
  <si>
    <t>EST-178</t>
  </si>
  <si>
    <t>EST-179</t>
  </si>
  <si>
    <t>EST-180</t>
  </si>
  <si>
    <t>EST-181</t>
  </si>
  <si>
    <t>EST-182</t>
  </si>
  <si>
    <t>EST-183</t>
  </si>
  <si>
    <t>EST-184</t>
  </si>
  <si>
    <t>EST-185</t>
  </si>
  <si>
    <t>EST-186</t>
  </si>
  <si>
    <t>EST-187</t>
  </si>
  <si>
    <t>EST-188</t>
  </si>
  <si>
    <t>EST-189</t>
  </si>
  <si>
    <t>EST-190</t>
  </si>
  <si>
    <t>EST-191</t>
  </si>
  <si>
    <t>EST-192</t>
  </si>
  <si>
    <t>EST-193</t>
  </si>
  <si>
    <t>EST-194</t>
  </si>
  <si>
    <t>EST-195</t>
  </si>
  <si>
    <t>EST-196</t>
  </si>
  <si>
    <t>EST-197</t>
  </si>
  <si>
    <t>EST-198</t>
  </si>
  <si>
    <t>EST-199</t>
  </si>
  <si>
    <t>EST-200</t>
  </si>
  <si>
    <t>EST-201</t>
  </si>
  <si>
    <t>EST-202</t>
  </si>
  <si>
    <t>EST-203</t>
  </si>
  <si>
    <t>EST-204</t>
  </si>
  <si>
    <t>EST-205</t>
  </si>
  <si>
    <t>EST-206</t>
  </si>
  <si>
    <t>EST-207</t>
  </si>
  <si>
    <t>EST-208</t>
  </si>
  <si>
    <t>EST-209</t>
  </si>
  <si>
    <t>EST-210</t>
  </si>
  <si>
    <t>EST-211</t>
  </si>
  <si>
    <t>EST-212</t>
  </si>
  <si>
    <t>EST-213</t>
  </si>
  <si>
    <t>EST-214</t>
  </si>
  <si>
    <t>EST-215</t>
  </si>
  <si>
    <t>EST-216</t>
  </si>
  <si>
    <t>EST-217</t>
  </si>
  <si>
    <t>EST-218</t>
  </si>
  <si>
    <t>EST-219</t>
  </si>
  <si>
    <t>EST-220</t>
  </si>
  <si>
    <t>EST-221</t>
  </si>
  <si>
    <t>EST-222</t>
  </si>
  <si>
    <t>EST-223</t>
  </si>
  <si>
    <t>EST-224</t>
  </si>
  <si>
    <t>EST-225</t>
  </si>
  <si>
    <t>EST-226</t>
  </si>
  <si>
    <t>EST-227</t>
  </si>
  <si>
    <t>EST-228</t>
  </si>
  <si>
    <t>EST-229</t>
  </si>
  <si>
    <t>EST-230</t>
  </si>
  <si>
    <t>EST-231</t>
  </si>
  <si>
    <t>EST-232</t>
  </si>
  <si>
    <t>EST-233</t>
  </si>
  <si>
    <t>EST-234</t>
  </si>
  <si>
    <t>Zonalogística · LogiAnalítica  |  Módulo: Almacenamiento (MOD-01)</t>
  </si>
  <si>
    <t>Catálogo de módulos disponibles (Almacenamiento, Transporte, etc...). Activar/desactivar según la necesidad. Agregar nuevas filas para nuevos módulos.</t>
  </si>
  <si>
    <t>Dimensiones y subdimensiones de cada módulo. El peso de cada subdimensión define cuánto aporta al score por dimensión.</t>
  </si>
  <si>
    <t>Las 6 opciones (0-5) por pregunta con su puntaje de madurez. 0=0, 1=20, 2=40, 3=60, 4=80 y 5=100. Se puede ajustar el puntaje según el criterio del experto.</t>
  </si>
  <si>
    <t>Puntaje de la opción seleccionada (0 / 20 / 40 / 60 / 80 / 100)</t>
  </si>
  <si>
    <t>Promedio ponderado de las preguntas que la componen</t>
  </si>
  <si>
    <t>Promedio ponderado de sus subdimensiones</t>
  </si>
  <si>
    <t>Promedio simple de las 3 dimensiones</t>
  </si>
  <si>
    <t>Zonalogística · LogiAnalítica</t>
  </si>
  <si>
    <t>Zonalogística · LogiAnalítica  |  La estrategia se activa cuando el puntaje de la pregunta está dentro del rango definido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</si>
</sst>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charset val="1"/>
    </font>
    <font>
      <sz val="10"/>
      <name val="Arial"/>
      <family val="2"/>
      <charset val="1"/>
    </font>
    <font>
      <b/>
      <sz val="14"/>
      <color rgb="FFFFFFFF"/>
      <name val="Arial"/>
      <family val="2"/>
    </font>
    <font>
      <sz val="9"/>
      <color rgb="FF003049"/>
      <name val="Arial"/>
      <family val="2"/>
    </font>
    <font>
      <sz val="9"/>
      <color rgb="FF6B7280"/>
      <name val="Arial"/>
      <family val="2"/>
    </font>
    <font>
      <b/>
      <sz val="10"/>
      <color rgb="FF003049"/>
      <name val="Arial"/>
      <family val="2"/>
    </font>
    <font>
      <b/>
      <sz val="9"/>
      <color rgb="FF003049"/>
      <name val="Arial"/>
      <family val="2"/>
    </font>
    <font>
      <sz val="9"/>
      <color rgb="FF6B7280"/>
      <name val="Arial"/>
      <family val="2"/>
      <charset val="1"/>
    </font>
    <font>
      <i/>
      <sz val="9"/>
      <color rgb="FF6B7280"/>
      <name val="Arial"/>
      <family val="2"/>
    </font>
    <font>
      <b/>
      <sz val="10"/>
      <color rgb="FFFFFFFF"/>
      <name val="Arial"/>
      <family val="2"/>
    </font>
    <font>
      <b/>
      <sz val="9"/>
      <color rgb="FF2E7D32"/>
      <name val="Arial"/>
      <family val="2"/>
    </font>
    <font>
      <sz val="9"/>
      <color rgb="FF003049"/>
      <name val="Arial"/>
      <family val="2"/>
      <charset val="1"/>
    </font>
    <font>
      <i/>
      <sz val="9"/>
      <color rgb="FF6B7280"/>
      <name val="Arial"/>
      <family val="2"/>
      <charset val="1"/>
    </font>
    <font>
      <b/>
      <sz val="9"/>
      <color rgb="FFC62828"/>
      <name val="Arial"/>
      <family val="2"/>
    </font>
    <font>
      <b/>
      <sz val="9"/>
      <color rgb="FFE65100"/>
      <name val="Arial"/>
      <family val="2"/>
    </font>
    <font>
      <b/>
      <sz val="9"/>
      <color rgb="FFF57F17"/>
      <name val="Arial"/>
      <family val="2"/>
    </font>
    <font>
      <b/>
      <sz val="9"/>
      <color rgb="FF1565C0"/>
      <name val="Arial"/>
      <family val="2"/>
    </font>
    <font>
      <b/>
      <sz val="9"/>
      <color rgb="FF4527A0"/>
      <name val="Arial"/>
      <family val="2"/>
    </font>
    <font>
      <b/>
      <sz val="9"/>
      <color rgb="FFFF0303"/>
      <name val="Arial"/>
      <family val="2"/>
    </font>
  </fonts>
  <fills count="15">
    <fill>
      <patternFill patternType="none"/>
    </fill>
    <fill>
      <patternFill patternType="gray125"/>
    </fill>
    <fill>
      <patternFill patternType="solid">
        <fgColor rgb="FF003049"/>
        <bgColor rgb="FF003300"/>
      </patternFill>
    </fill>
    <fill>
      <patternFill patternType="solid">
        <fgColor rgb="FFE8EEF3"/>
        <bgColor rgb="FFEAF0FA"/>
      </patternFill>
    </fill>
    <fill>
      <patternFill patternType="solid">
        <fgColor rgb="FFF4F5F7"/>
        <bgColor rgb="FFEAF0FA"/>
      </patternFill>
    </fill>
    <fill>
      <patternFill patternType="solid">
        <fgColor rgb="FFFFFFFF"/>
        <bgColor rgb="FFF4F5F7"/>
      </patternFill>
    </fill>
    <fill>
      <patternFill patternType="solid">
        <fgColor rgb="FFEAF4E8"/>
        <bgColor rgb="FFE8F5E9"/>
      </patternFill>
    </fill>
    <fill>
      <patternFill patternType="solid">
        <fgColor rgb="FFEAF0FA"/>
        <bgColor rgb="FFE8EEF3"/>
      </patternFill>
    </fill>
    <fill>
      <patternFill patternType="solid">
        <fgColor rgb="FFFFF8E1"/>
        <bgColor rgb="FFFFF3E0"/>
      </patternFill>
    </fill>
    <fill>
      <patternFill patternType="solid">
        <fgColor rgb="FFFFEBEE"/>
        <bgColor rgb="FFFFF3E0"/>
      </patternFill>
    </fill>
    <fill>
      <patternFill patternType="solid">
        <fgColor rgb="FFFFF9C4"/>
        <bgColor rgb="FFFFF8E1"/>
      </patternFill>
    </fill>
    <fill>
      <patternFill patternType="solid">
        <fgColor rgb="FFE3F2FD"/>
        <bgColor rgb="FFEAF0FA"/>
      </patternFill>
    </fill>
    <fill>
      <patternFill patternType="solid">
        <fgColor rgb="FFE8F5E9"/>
        <bgColor rgb="FFEAF4E8"/>
      </patternFill>
    </fill>
    <fill>
      <patternFill patternType="solid">
        <fgColor rgb="FFFFF3E0"/>
        <bgColor rgb="FFFFF8E1"/>
      </patternFill>
    </fill>
    <fill>
      <patternFill patternType="solid">
        <fgColor rgb="FFF3E5F5"/>
        <bgColor rgb="FFFFEBEE"/>
      </patternFill>
    </fill>
  </fills>
  <borders count="4">
    <border>
      <left/>
      <right/>
      <top/>
      <bottom/>
      <diagonal/>
    </border>
    <border>
      <left style="thin">
        <color rgb="FFD9DCE3"/>
      </left>
      <right style="thin">
        <color rgb="FFD9DCE3"/>
      </right>
      <top style="thin">
        <color rgb="FFD9DCE3"/>
      </top>
      <bottom style="thin">
        <color rgb="FFD9DCE3"/>
      </bottom>
      <diagonal/>
    </border>
    <border>
      <left style="thin">
        <color rgb="FFCCCCCC"/>
      </left>
      <right style="thin">
        <color rgb="FFCCCCCC"/>
      </right>
      <top style="thin">
        <color rgb="FFCCCCCC"/>
      </top>
      <bottom style="thin">
        <color rgb="FFCCCCCC"/>
      </bottom>
      <diagonal/>
    </border>
    <border>
      <left/>
      <right/>
      <top/>
      <bottom style="thin">
        <color rgb="FFD9DCE3"/>
      </bottom>
      <diagonal/>
    </border>
  </borders>
  <cellStyleXfs count="2">
    <xf numFmtId="0" fontId="0" fillId="0" borderId="0"/>
    <xf numFmtId="0" fontId="1" fillId="0" borderId="0"/>
  </cellStyleXfs>
  <cellXfs count="80">
    <xf numFmtId="0" fontId="0" fillId="0" borderId="0" xfId="0"/>
    <xf numFmtId="0" fontId="3" fillId="0" borderId="1" xfId="0" applyFont="1" applyBorder="1" applyAlignment="1">
      <alignment horizontal="left" vertical="center"/>
    </xf>
    <xf numFmtId="0" fontId="4" fillId="0" borderId="1" xfId="0" applyFont="1" applyBorder="1" applyAlignment="1">
      <alignment horizontal="left" vertical="center" wrapText="1"/>
    </xf>
    <xf numFmtId="0" fontId="5" fillId="3" borderId="1" xfId="0" applyFont="1" applyFill="1" applyBorder="1" applyAlignment="1">
      <alignment horizontal="left" vertical="center" wrapText="1"/>
    </xf>
    <xf numFmtId="0" fontId="6" fillId="0" borderId="1" xfId="0" applyFont="1" applyBorder="1" applyAlignment="1">
      <alignment horizontal="left" vertical="center"/>
    </xf>
    <xf numFmtId="0" fontId="7" fillId="0" borderId="1" xfId="0" applyFont="1" applyBorder="1" applyAlignment="1">
      <alignment horizontal="left" vertical="center" wrapText="1"/>
    </xf>
    <xf numFmtId="0" fontId="9" fillId="2"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3" fillId="4" borderId="1" xfId="0" applyFont="1" applyFill="1" applyBorder="1" applyAlignment="1">
      <alignment horizontal="left" vertical="center"/>
    </xf>
    <xf numFmtId="0" fontId="3" fillId="4" borderId="1" xfId="0" applyFont="1" applyFill="1" applyBorder="1" applyAlignment="1">
      <alignment horizontal="left" vertical="center" wrapText="1"/>
    </xf>
    <xf numFmtId="0" fontId="10"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5" borderId="1" xfId="0" applyFont="1" applyFill="1" applyBorder="1" applyAlignment="1">
      <alignment horizontal="left" vertical="center"/>
    </xf>
    <xf numFmtId="0" fontId="3" fillId="5" borderId="1" xfId="0" applyFont="1" applyFill="1" applyBorder="1" applyAlignment="1">
      <alignment horizontal="left" vertical="center" wrapText="1"/>
    </xf>
    <xf numFmtId="0" fontId="4" fillId="5" borderId="1" xfId="0" applyFont="1" applyFill="1" applyBorder="1" applyAlignment="1">
      <alignment horizontal="center" vertical="center"/>
    </xf>
    <xf numFmtId="0" fontId="4" fillId="4" borderId="1" xfId="0" applyFont="1" applyFill="1" applyBorder="1" applyAlignment="1">
      <alignment horizontal="center" vertical="center"/>
    </xf>
    <xf numFmtId="0" fontId="3" fillId="6"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164" fontId="3" fillId="6" borderId="1" xfId="0" applyNumberFormat="1"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7" borderId="1" xfId="0" applyFont="1" applyFill="1" applyBorder="1" applyAlignment="1">
      <alignment horizontal="left" vertical="center" wrapText="1"/>
    </xf>
    <xf numFmtId="164" fontId="3" fillId="7" borderId="1" xfId="0" applyNumberFormat="1"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8" borderId="1" xfId="0" applyFont="1" applyFill="1" applyBorder="1" applyAlignment="1">
      <alignment horizontal="left" vertical="center" wrapText="1"/>
    </xf>
    <xf numFmtId="164" fontId="3" fillId="8" borderId="1" xfId="0" applyNumberFormat="1" applyFont="1" applyFill="1" applyBorder="1" applyAlignment="1">
      <alignment horizontal="center" vertical="center" wrapText="1"/>
    </xf>
    <xf numFmtId="0" fontId="3" fillId="6" borderId="1" xfId="0" applyFont="1" applyFill="1" applyBorder="1" applyAlignment="1">
      <alignment horizontal="center" vertical="center"/>
    </xf>
    <xf numFmtId="0" fontId="3" fillId="6" borderId="1" xfId="0" applyFont="1" applyFill="1" applyBorder="1" applyAlignment="1">
      <alignment horizontal="left" vertical="center"/>
    </xf>
    <xf numFmtId="164" fontId="3" fillId="6" borderId="1" xfId="0" applyNumberFormat="1" applyFont="1" applyFill="1" applyBorder="1" applyAlignment="1">
      <alignment horizontal="center" vertical="center"/>
    </xf>
    <xf numFmtId="0" fontId="11" fillId="6" borderId="1" xfId="0" applyFont="1" applyFill="1" applyBorder="1" applyAlignment="1">
      <alignment horizontal="left" vertical="center" wrapText="1"/>
    </xf>
    <xf numFmtId="0" fontId="11" fillId="6" borderId="1" xfId="0" applyFont="1" applyFill="1" applyBorder="1" applyAlignment="1">
      <alignment horizontal="center" vertical="center"/>
    </xf>
    <xf numFmtId="0" fontId="11" fillId="7"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7" borderId="1" xfId="0" applyFont="1" applyFill="1" applyBorder="1" applyAlignment="1">
      <alignment horizontal="left" vertical="center"/>
    </xf>
    <xf numFmtId="0" fontId="11" fillId="7" borderId="1" xfId="0" applyFont="1" applyFill="1" applyBorder="1" applyAlignment="1">
      <alignment horizontal="left" vertical="center" wrapText="1"/>
    </xf>
    <xf numFmtId="164" fontId="3" fillId="7" borderId="1" xfId="0" applyNumberFormat="1" applyFont="1" applyFill="1" applyBorder="1" applyAlignment="1">
      <alignment horizontal="center" vertical="center"/>
    </xf>
    <xf numFmtId="0" fontId="11" fillId="8" borderId="1" xfId="0" applyFont="1" applyFill="1" applyBorder="1" applyAlignment="1">
      <alignment horizontal="center" vertical="center"/>
    </xf>
    <xf numFmtId="0" fontId="3" fillId="8" borderId="1" xfId="0" applyFont="1" applyFill="1" applyBorder="1" applyAlignment="1">
      <alignment horizontal="center" vertical="center"/>
    </xf>
    <xf numFmtId="0" fontId="3" fillId="8" borderId="1" xfId="0" applyFont="1" applyFill="1" applyBorder="1" applyAlignment="1">
      <alignment horizontal="left" vertical="center"/>
    </xf>
    <xf numFmtId="0" fontId="11" fillId="8" borderId="1" xfId="0" applyFont="1" applyFill="1" applyBorder="1" applyAlignment="1">
      <alignment horizontal="left" vertical="center" wrapText="1"/>
    </xf>
    <xf numFmtId="164" fontId="3" fillId="8" borderId="1" xfId="0" applyNumberFormat="1" applyFont="1" applyFill="1" applyBorder="1" applyAlignment="1">
      <alignment horizontal="center" vertical="center"/>
    </xf>
    <xf numFmtId="0" fontId="9" fillId="2" borderId="2" xfId="0" applyFont="1" applyFill="1" applyBorder="1" applyAlignment="1">
      <alignment horizontal="center" vertical="center" wrapText="1"/>
    </xf>
    <xf numFmtId="0" fontId="3" fillId="9" borderId="2" xfId="0" applyFont="1" applyFill="1" applyBorder="1" applyAlignment="1">
      <alignment horizontal="center" vertical="center"/>
    </xf>
    <xf numFmtId="0" fontId="13" fillId="9" borderId="2" xfId="0" applyFont="1" applyFill="1" applyBorder="1" applyAlignment="1">
      <alignment horizontal="center" vertical="center"/>
    </xf>
    <xf numFmtId="0" fontId="11" fillId="9" borderId="2" xfId="0" applyFont="1" applyFill="1" applyBorder="1" applyAlignment="1">
      <alignment horizontal="left" vertical="center" wrapText="1"/>
    </xf>
    <xf numFmtId="0" fontId="3" fillId="9" borderId="2" xfId="0" applyFont="1" applyFill="1" applyBorder="1" applyAlignment="1">
      <alignment horizontal="left" vertical="center"/>
    </xf>
    <xf numFmtId="0" fontId="14" fillId="9" borderId="2" xfId="0" applyFont="1" applyFill="1" applyBorder="1" applyAlignment="1">
      <alignment horizontal="center" vertical="center"/>
    </xf>
    <xf numFmtId="0" fontId="3" fillId="10" borderId="2" xfId="0" applyFont="1" applyFill="1" applyBorder="1" applyAlignment="1">
      <alignment horizontal="center" vertical="center"/>
    </xf>
    <xf numFmtId="0" fontId="15" fillId="10" borderId="2" xfId="0" applyFont="1" applyFill="1" applyBorder="1" applyAlignment="1">
      <alignment horizontal="center" vertical="center"/>
    </xf>
    <xf numFmtId="0" fontId="11" fillId="10" borderId="2" xfId="0" applyFont="1" applyFill="1" applyBorder="1" applyAlignment="1">
      <alignment horizontal="left" vertical="center" wrapText="1"/>
    </xf>
    <xf numFmtId="0" fontId="13" fillId="10" borderId="2" xfId="0" applyFont="1" applyFill="1" applyBorder="1" applyAlignment="1">
      <alignment horizontal="center" vertical="center"/>
    </xf>
    <xf numFmtId="0" fontId="3" fillId="10" borderId="2" xfId="0" applyFont="1" applyFill="1" applyBorder="1" applyAlignment="1">
      <alignment horizontal="left" vertical="center"/>
    </xf>
    <xf numFmtId="0" fontId="3" fillId="8" borderId="2" xfId="0" applyFont="1" applyFill="1" applyBorder="1" applyAlignment="1">
      <alignment horizontal="center" vertical="center"/>
    </xf>
    <xf numFmtId="0" fontId="10" fillId="8" borderId="2" xfId="0" applyFont="1" applyFill="1" applyBorder="1" applyAlignment="1">
      <alignment horizontal="center" vertical="center"/>
    </xf>
    <xf numFmtId="0" fontId="11" fillId="8" borderId="2" xfId="0" applyFont="1" applyFill="1" applyBorder="1" applyAlignment="1">
      <alignment horizontal="left" vertical="center" wrapText="1"/>
    </xf>
    <xf numFmtId="0" fontId="15" fillId="8" borderId="2" xfId="0" applyFont="1" applyFill="1" applyBorder="1" applyAlignment="1">
      <alignment horizontal="center" vertical="center"/>
    </xf>
    <xf numFmtId="0" fontId="3" fillId="8" borderId="2" xfId="0" applyFont="1" applyFill="1" applyBorder="1" applyAlignment="1">
      <alignment horizontal="left" vertical="center"/>
    </xf>
    <xf numFmtId="0" fontId="3" fillId="11" borderId="2" xfId="0" applyFont="1" applyFill="1" applyBorder="1" applyAlignment="1">
      <alignment horizontal="center" vertical="center"/>
    </xf>
    <xf numFmtId="0" fontId="16" fillId="11" borderId="2" xfId="0" applyFont="1" applyFill="1" applyBorder="1" applyAlignment="1">
      <alignment horizontal="center" vertical="center"/>
    </xf>
    <xf numFmtId="0" fontId="11" fillId="11" borderId="2" xfId="0" applyFont="1" applyFill="1" applyBorder="1" applyAlignment="1">
      <alignment horizontal="left" vertical="center" wrapText="1"/>
    </xf>
    <xf numFmtId="0" fontId="15" fillId="11" borderId="2" xfId="0" applyFont="1" applyFill="1" applyBorder="1" applyAlignment="1">
      <alignment horizontal="center" vertical="center"/>
    </xf>
    <xf numFmtId="0" fontId="3" fillId="11" borderId="2" xfId="0" applyFont="1" applyFill="1" applyBorder="1" applyAlignment="1">
      <alignment horizontal="left" vertical="center"/>
    </xf>
    <xf numFmtId="0" fontId="3" fillId="12" borderId="2" xfId="0" applyFont="1" applyFill="1" applyBorder="1" applyAlignment="1">
      <alignment horizontal="center" vertical="center"/>
    </xf>
    <xf numFmtId="0" fontId="17" fillId="12" borderId="2" xfId="0" applyFont="1" applyFill="1" applyBorder="1" applyAlignment="1">
      <alignment horizontal="center" vertical="center"/>
    </xf>
    <xf numFmtId="0" fontId="11" fillId="12" borderId="2" xfId="0" applyFont="1" applyFill="1" applyBorder="1" applyAlignment="1">
      <alignment horizontal="left" vertical="center" wrapText="1"/>
    </xf>
    <xf numFmtId="0" fontId="10" fillId="12" borderId="2" xfId="0" applyFont="1" applyFill="1" applyBorder="1" applyAlignment="1">
      <alignment horizontal="center" vertical="center"/>
    </xf>
    <xf numFmtId="0" fontId="3" fillId="12" borderId="2" xfId="0" applyFont="1" applyFill="1" applyBorder="1" applyAlignment="1">
      <alignment horizontal="left" vertical="center"/>
    </xf>
    <xf numFmtId="0" fontId="3" fillId="9" borderId="1" xfId="0" applyFont="1" applyFill="1" applyBorder="1" applyAlignment="1">
      <alignment horizontal="center" vertical="center"/>
    </xf>
    <xf numFmtId="0" fontId="18" fillId="9" borderId="1" xfId="0" applyFont="1" applyFill="1" applyBorder="1" applyAlignment="1">
      <alignment horizontal="center" vertical="center"/>
    </xf>
    <xf numFmtId="0" fontId="3" fillId="9" borderId="1" xfId="0" applyFont="1" applyFill="1" applyBorder="1" applyAlignment="1">
      <alignment horizontal="left" vertical="center" wrapText="1"/>
    </xf>
    <xf numFmtId="0" fontId="3" fillId="11" borderId="1" xfId="0" applyFont="1" applyFill="1" applyBorder="1" applyAlignment="1">
      <alignment horizontal="center" vertical="center"/>
    </xf>
    <xf numFmtId="0" fontId="15" fillId="8" borderId="1" xfId="0" applyFont="1" applyFill="1" applyBorder="1" applyAlignment="1">
      <alignment horizontal="center" vertical="center"/>
    </xf>
    <xf numFmtId="0" fontId="3" fillId="13" borderId="1" xfId="0" applyFont="1" applyFill="1" applyBorder="1" applyAlignment="1">
      <alignment horizontal="center" vertical="center"/>
    </xf>
    <xf numFmtId="0" fontId="3" fillId="12" borderId="1" xfId="0" applyFont="1" applyFill="1" applyBorder="1" applyAlignment="1">
      <alignment horizontal="center" vertical="center"/>
    </xf>
    <xf numFmtId="0" fontId="10" fillId="12" borderId="1" xfId="0" applyFont="1" applyFill="1" applyBorder="1" applyAlignment="1">
      <alignment horizontal="center" vertical="center"/>
    </xf>
    <xf numFmtId="0" fontId="3" fillId="12" borderId="1" xfId="0" applyFont="1" applyFill="1" applyBorder="1" applyAlignment="1">
      <alignment horizontal="left" vertical="center" wrapText="1"/>
    </xf>
    <xf numFmtId="0" fontId="3" fillId="14" borderId="1" xfId="0" applyFont="1" applyFill="1" applyBorder="1" applyAlignment="1">
      <alignment horizontal="center" vertical="center"/>
    </xf>
    <xf numFmtId="0" fontId="2" fillId="2" borderId="0" xfId="0" applyFont="1" applyFill="1" applyAlignment="1">
      <alignment horizontal="center" vertical="center"/>
    </xf>
    <xf numFmtId="0" fontId="8" fillId="3" borderId="0" xfId="0" applyFont="1" applyFill="1" applyAlignment="1">
      <alignment horizontal="center" vertical="center"/>
    </xf>
    <xf numFmtId="0" fontId="2" fillId="2" borderId="3" xfId="0" applyFont="1" applyFill="1" applyBorder="1" applyAlignment="1">
      <alignment horizontal="center" vertical="center"/>
    </xf>
    <xf numFmtId="0" fontId="12" fillId="3" borderId="0" xfId="0" applyFont="1" applyFill="1" applyAlignment="1">
      <alignment horizontal="center" vertical="center"/>
    </xf>
  </cellXfs>
  <cellStyles count="2">
    <cellStyle name="Normal" xfId="0" builtinId="0"/>
    <cellStyle name="Normal 2" xfId="1" xr:uid="{00000000-0005-0000-0000-000006000000}"/>
  </cellStyles>
  <dxfs count="0"/>
  <tableStyles count="0" defaultTableStyle="TableStyleMedium2" defaultPivotStyle="PivotStyleLight16"/>
  <colors>
    <indexedColors>
      <rgbColor rgb="FF000000"/>
      <rgbColor rgb="FFFFFFFF"/>
      <rgbColor rgb="FFFF0303"/>
      <rgbColor rgb="FF00FF00"/>
      <rgbColor rgb="FF0000FF"/>
      <rgbColor rgb="FFFFF3E0"/>
      <rgbColor rgb="FFFF00FF"/>
      <rgbColor rgb="FF00FFFF"/>
      <rgbColor rgb="FF800000"/>
      <rgbColor rgb="FF008000"/>
      <rgbColor rgb="FF000080"/>
      <rgbColor rgb="FF808000"/>
      <rgbColor rgb="FF800080"/>
      <rgbColor rgb="FF008080"/>
      <rgbColor rgb="FFCCCCCC"/>
      <rgbColor rgb="FF808080"/>
      <rgbColor rgb="FF9999FF"/>
      <rgbColor rgb="FF993366"/>
      <rgbColor rgb="FFFFF9C4"/>
      <rgbColor rgb="FFE3F2FD"/>
      <rgbColor rgb="FF660066"/>
      <rgbColor rgb="FFFF8080"/>
      <rgbColor rgb="FF1565C0"/>
      <rgbColor rgb="FFD9DCE3"/>
      <rgbColor rgb="FF000080"/>
      <rgbColor rgb="FFFF00FF"/>
      <rgbColor rgb="FFF4F5F7"/>
      <rgbColor rgb="FF00FFFF"/>
      <rgbColor rgb="FF800080"/>
      <rgbColor rgb="FF800000"/>
      <rgbColor rgb="FF008080"/>
      <rgbColor rgb="FF0000FF"/>
      <rgbColor rgb="FF00CCFF"/>
      <rgbColor rgb="FFE8F5E9"/>
      <rgbColor rgb="FFEAF4E8"/>
      <rgbColor rgb="FFFFF8E1"/>
      <rgbColor rgb="FFE8EEF3"/>
      <rgbColor rgb="FFFFEBEE"/>
      <rgbColor rgb="FFEAF0FA"/>
      <rgbColor rgb="FFF3E5F5"/>
      <rgbColor rgb="FF3366FF"/>
      <rgbColor rgb="FF33CCCC"/>
      <rgbColor rgb="FF99CC00"/>
      <rgbColor rgb="FFFFCC00"/>
      <rgbColor rgb="FFF57F17"/>
      <rgbColor rgb="FFE65100"/>
      <rgbColor rgb="FF6B7280"/>
      <rgbColor rgb="FF969696"/>
      <rgbColor rgb="FF003049"/>
      <rgbColor rgb="FF2E7D32"/>
      <rgbColor rgb="FF003300"/>
      <rgbColor rgb="FF333300"/>
      <rgbColor rgb="FFC62828"/>
      <rgbColor rgb="FF993366"/>
      <rgbColor rgb="FF4527A0"/>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
  <sheetViews>
    <sheetView showGridLines="0" zoomScaleNormal="100" workbookViewId="0">
      <selection activeCell="B22" sqref="B22"/>
    </sheetView>
  </sheetViews>
  <sheetFormatPr baseColWidth="10" defaultColWidth="8.6640625" defaultRowHeight="14.4" x14ac:dyDescent="0.3"/>
  <cols>
    <col min="1" max="1" width="28" customWidth="1"/>
    <col min="2" max="2" width="100.6640625" customWidth="1"/>
  </cols>
  <sheetData>
    <row r="1" spans="1:2" ht="36" customHeight="1" x14ac:dyDescent="0.3">
      <c r="A1" s="78" t="s">
        <v>0</v>
      </c>
      <c r="B1" s="78"/>
    </row>
    <row r="2" spans="1:2" ht="21.75" customHeight="1" x14ac:dyDescent="0.3">
      <c r="A2" s="1"/>
      <c r="B2" s="2"/>
    </row>
    <row r="3" spans="1:2" ht="21.75" customHeight="1" x14ac:dyDescent="0.3">
      <c r="A3" s="3" t="s">
        <v>1</v>
      </c>
      <c r="B3" s="3" t="s">
        <v>2</v>
      </c>
    </row>
    <row r="4" spans="1:2" ht="22.5" customHeight="1" x14ac:dyDescent="0.3">
      <c r="A4" s="4" t="s">
        <v>3</v>
      </c>
      <c r="B4" s="2" t="s">
        <v>1001</v>
      </c>
    </row>
    <row r="5" spans="1:2" ht="22.5" customHeight="1" x14ac:dyDescent="0.3">
      <c r="A5" s="4" t="s">
        <v>4</v>
      </c>
      <c r="B5" s="2" t="s">
        <v>1002</v>
      </c>
    </row>
    <row r="6" spans="1:2" ht="21.75" customHeight="1" x14ac:dyDescent="0.3">
      <c r="A6" s="4" t="s">
        <v>5</v>
      </c>
      <c r="B6" s="2" t="s">
        <v>6</v>
      </c>
    </row>
    <row r="7" spans="1:2" ht="21.75" customHeight="1" x14ac:dyDescent="0.3">
      <c r="A7" s="4" t="s">
        <v>7</v>
      </c>
      <c r="B7" s="5" t="s">
        <v>1003</v>
      </c>
    </row>
    <row r="8" spans="1:2" ht="21.75" customHeight="1" x14ac:dyDescent="0.3">
      <c r="A8" s="4" t="s">
        <v>8</v>
      </c>
      <c r="B8" s="2" t="s">
        <v>9</v>
      </c>
    </row>
    <row r="9" spans="1:2" ht="21.75" customHeight="1" x14ac:dyDescent="0.3">
      <c r="A9" s="1"/>
      <c r="B9" s="2"/>
    </row>
    <row r="10" spans="1:2" ht="21.75" customHeight="1" x14ac:dyDescent="0.3">
      <c r="A10" s="3" t="s">
        <v>10</v>
      </c>
      <c r="B10" s="3"/>
    </row>
    <row r="11" spans="1:2" ht="21.75" customHeight="1" x14ac:dyDescent="0.3">
      <c r="A11" s="4" t="s">
        <v>11</v>
      </c>
      <c r="B11" s="2" t="s">
        <v>1004</v>
      </c>
    </row>
    <row r="12" spans="1:2" ht="21.75" customHeight="1" x14ac:dyDescent="0.3">
      <c r="A12" s="4" t="s">
        <v>12</v>
      </c>
      <c r="B12" s="2" t="s">
        <v>1005</v>
      </c>
    </row>
    <row r="13" spans="1:2" ht="21.75" customHeight="1" x14ac:dyDescent="0.3">
      <c r="A13" s="4" t="s">
        <v>13</v>
      </c>
      <c r="B13" s="2" t="s">
        <v>1006</v>
      </c>
    </row>
    <row r="14" spans="1:2" ht="21.75" customHeight="1" x14ac:dyDescent="0.3">
      <c r="A14" s="4" t="s">
        <v>14</v>
      </c>
      <c r="B14" s="2" t="s">
        <v>1007</v>
      </c>
    </row>
    <row r="15" spans="1:2" ht="21.75" customHeight="1" x14ac:dyDescent="0.3">
      <c r="A15" s="1"/>
      <c r="B15" s="2"/>
    </row>
    <row r="16" spans="1:2" ht="21.75" customHeight="1" x14ac:dyDescent="0.3">
      <c r="A16" s="3" t="s">
        <v>15</v>
      </c>
      <c r="B16" s="3"/>
    </row>
    <row r="17" spans="1:2" ht="21.75" customHeight="1" x14ac:dyDescent="0.3">
      <c r="A17" s="4" t="s">
        <v>16</v>
      </c>
      <c r="B17" s="2" t="s">
        <v>17</v>
      </c>
    </row>
    <row r="18" spans="1:2" ht="21.75" customHeight="1" x14ac:dyDescent="0.3">
      <c r="A18" s="4" t="s">
        <v>18</v>
      </c>
      <c r="B18" s="2" t="s">
        <v>19</v>
      </c>
    </row>
    <row r="19" spans="1:2" ht="21.75" customHeight="1" x14ac:dyDescent="0.3">
      <c r="A19" s="4" t="s">
        <v>20</v>
      </c>
      <c r="B19" s="2" t="s">
        <v>21</v>
      </c>
    </row>
    <row r="20" spans="1:2" ht="21.75" customHeight="1" x14ac:dyDescent="0.3">
      <c r="A20" s="1"/>
      <c r="B20" s="2"/>
    </row>
    <row r="21" spans="1:2" ht="21.75" customHeight="1" x14ac:dyDescent="0.3">
      <c r="A21" s="3" t="s">
        <v>22</v>
      </c>
      <c r="B21" s="3"/>
    </row>
    <row r="22" spans="1:2" ht="21.75" customHeight="1" x14ac:dyDescent="0.3">
      <c r="A22" s="4" t="s">
        <v>23</v>
      </c>
      <c r="B22" s="2" t="s">
        <v>24</v>
      </c>
    </row>
    <row r="23" spans="1:2" ht="21.75" customHeight="1" x14ac:dyDescent="0.3">
      <c r="A23" s="4" t="s">
        <v>25</v>
      </c>
      <c r="B23" s="2" t="s">
        <v>26</v>
      </c>
    </row>
    <row r="24" spans="1:2" ht="21.75" customHeight="1" x14ac:dyDescent="0.3">
      <c r="A24" s="4" t="s">
        <v>27</v>
      </c>
      <c r="B24" s="2" t="s">
        <v>28</v>
      </c>
    </row>
  </sheetData>
  <mergeCells count="1">
    <mergeCell ref="A1:B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
  <sheetViews>
    <sheetView showGridLines="0" zoomScaleNormal="100" workbookViewId="0">
      <selection activeCell="D4" sqref="D4"/>
    </sheetView>
  </sheetViews>
  <sheetFormatPr baseColWidth="10" defaultColWidth="8.6640625" defaultRowHeight="14.4" x14ac:dyDescent="0.3"/>
  <cols>
    <col min="1" max="1" width="14" customWidth="1"/>
    <col min="2" max="2" width="20" customWidth="1"/>
    <col min="3" max="3" width="48" customWidth="1"/>
    <col min="4" max="4" width="40" customWidth="1"/>
    <col min="5" max="5" width="10" customWidth="1"/>
    <col min="6" max="6" width="20" customWidth="1"/>
  </cols>
  <sheetData>
    <row r="1" spans="1:6" ht="36" customHeight="1" x14ac:dyDescent="0.3">
      <c r="A1" s="76" t="s">
        <v>29</v>
      </c>
      <c r="B1" s="76"/>
      <c r="C1" s="76"/>
      <c r="D1" s="76"/>
      <c r="E1" s="76"/>
      <c r="F1" s="76"/>
    </row>
    <row r="2" spans="1:6" ht="19.5" customHeight="1" x14ac:dyDescent="0.3">
      <c r="A2" s="77" t="s">
        <v>1008</v>
      </c>
      <c r="B2" s="77"/>
      <c r="C2" s="77"/>
      <c r="D2" s="77"/>
      <c r="E2" s="77"/>
      <c r="F2" s="77"/>
    </row>
    <row r="3" spans="1:6" ht="30" customHeight="1" x14ac:dyDescent="0.3">
      <c r="A3" s="6" t="s">
        <v>30</v>
      </c>
      <c r="B3" s="6" t="s">
        <v>31</v>
      </c>
      <c r="C3" s="6" t="s">
        <v>32</v>
      </c>
      <c r="D3" s="6" t="s">
        <v>33</v>
      </c>
      <c r="E3" s="6" t="s">
        <v>34</v>
      </c>
      <c r="F3" s="6" t="s">
        <v>35</v>
      </c>
    </row>
    <row r="4" spans="1:6" ht="21.75" customHeight="1" x14ac:dyDescent="0.3">
      <c r="A4" s="7" t="s">
        <v>36</v>
      </c>
      <c r="B4" s="8" t="s">
        <v>37</v>
      </c>
      <c r="C4" s="9" t="s">
        <v>38</v>
      </c>
      <c r="D4" s="8" t="s">
        <v>39</v>
      </c>
      <c r="E4" s="10" t="s">
        <v>40</v>
      </c>
      <c r="F4" s="7">
        <v>1</v>
      </c>
    </row>
    <row r="5" spans="1:6" ht="21.75" customHeight="1" x14ac:dyDescent="0.3">
      <c r="A5" s="11" t="s">
        <v>41</v>
      </c>
      <c r="B5" s="12" t="s">
        <v>42</v>
      </c>
      <c r="C5" s="13" t="s">
        <v>43</v>
      </c>
      <c r="D5" s="12" t="s">
        <v>44</v>
      </c>
      <c r="E5" s="14" t="s">
        <v>45</v>
      </c>
      <c r="F5" s="11">
        <v>2</v>
      </c>
    </row>
    <row r="6" spans="1:6" ht="21.75" customHeight="1" x14ac:dyDescent="0.3">
      <c r="A6" s="7" t="s">
        <v>46</v>
      </c>
      <c r="B6" s="8" t="s">
        <v>47</v>
      </c>
      <c r="C6" s="9" t="s">
        <v>48</v>
      </c>
      <c r="D6" s="8" t="s">
        <v>44</v>
      </c>
      <c r="E6" s="15" t="s">
        <v>45</v>
      </c>
      <c r="F6" s="7">
        <v>3</v>
      </c>
    </row>
    <row r="7" spans="1:6" ht="21.75" customHeight="1" x14ac:dyDescent="0.3">
      <c r="A7" s="11" t="s">
        <v>49</v>
      </c>
      <c r="B7" s="12" t="s">
        <v>50</v>
      </c>
      <c r="C7" s="13" t="s">
        <v>51</v>
      </c>
      <c r="D7" s="12" t="s">
        <v>44</v>
      </c>
      <c r="E7" s="14" t="s">
        <v>45</v>
      </c>
      <c r="F7" s="11">
        <v>4</v>
      </c>
    </row>
    <row r="8" spans="1:6" ht="21.75" customHeight="1" x14ac:dyDescent="0.3">
      <c r="A8" s="7" t="s">
        <v>52</v>
      </c>
      <c r="B8" s="8" t="s">
        <v>53</v>
      </c>
      <c r="C8" s="9" t="s">
        <v>54</v>
      </c>
      <c r="D8" s="8" t="s">
        <v>44</v>
      </c>
      <c r="E8" s="15" t="s">
        <v>45</v>
      </c>
      <c r="F8" s="7">
        <v>5</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
  <sheetViews>
    <sheetView showGridLines="0" zoomScaleNormal="100" workbookViewId="0">
      <selection activeCell="A9" sqref="A9"/>
    </sheetView>
  </sheetViews>
  <sheetFormatPr baseColWidth="10" defaultColWidth="8.6640625" defaultRowHeight="14.4" x14ac:dyDescent="0.3"/>
  <cols>
    <col min="1" max="1" width="14" customWidth="1"/>
    <col min="2" max="2" width="12" customWidth="1"/>
    <col min="3" max="4" width="26" customWidth="1"/>
    <col min="5" max="5" width="18" customWidth="1"/>
    <col min="6" max="6" width="50" customWidth="1"/>
    <col min="7" max="7" width="8" customWidth="1"/>
  </cols>
  <sheetData>
    <row r="1" spans="1:7" ht="36" customHeight="1" x14ac:dyDescent="0.3">
      <c r="A1" s="76" t="s">
        <v>55</v>
      </c>
      <c r="B1" s="76"/>
      <c r="C1" s="76"/>
      <c r="D1" s="76"/>
      <c r="E1" s="76"/>
      <c r="F1" s="76"/>
      <c r="G1" s="76"/>
    </row>
    <row r="2" spans="1:7" ht="19.5" customHeight="1" x14ac:dyDescent="0.3">
      <c r="A2" s="77" t="s">
        <v>1008</v>
      </c>
      <c r="B2" s="77"/>
      <c r="C2" s="77"/>
      <c r="D2" s="77"/>
      <c r="E2" s="77"/>
      <c r="F2" s="77"/>
      <c r="G2" s="77"/>
    </row>
    <row r="3" spans="1:7" ht="30" customHeight="1" x14ac:dyDescent="0.3">
      <c r="A3" s="6" t="s">
        <v>56</v>
      </c>
      <c r="B3" s="6" t="s">
        <v>30</v>
      </c>
      <c r="C3" s="6" t="s">
        <v>57</v>
      </c>
      <c r="D3" s="6" t="s">
        <v>58</v>
      </c>
      <c r="E3" s="6" t="s">
        <v>59</v>
      </c>
      <c r="F3" s="6" t="s">
        <v>32</v>
      </c>
      <c r="G3" s="6" t="s">
        <v>60</v>
      </c>
    </row>
    <row r="4" spans="1:7" ht="21.75" customHeight="1" x14ac:dyDescent="0.3">
      <c r="A4" s="16" t="s">
        <v>61</v>
      </c>
      <c r="B4" s="16" t="s">
        <v>36</v>
      </c>
      <c r="C4" s="17" t="s">
        <v>62</v>
      </c>
      <c r="D4" s="17" t="s">
        <v>63</v>
      </c>
      <c r="E4" s="18">
        <f>0.4</f>
        <v>0.4</v>
      </c>
      <c r="F4" s="17" t="s">
        <v>64</v>
      </c>
      <c r="G4" s="16">
        <v>1</v>
      </c>
    </row>
    <row r="5" spans="1:7" ht="21.75" customHeight="1" x14ac:dyDescent="0.3">
      <c r="A5" s="16" t="s">
        <v>61</v>
      </c>
      <c r="B5" s="16" t="s">
        <v>36</v>
      </c>
      <c r="C5" s="17" t="s">
        <v>62</v>
      </c>
      <c r="D5" s="17" t="s">
        <v>37</v>
      </c>
      <c r="E5" s="18">
        <v>0.14000000000000001</v>
      </c>
      <c r="F5" s="17" t="s">
        <v>65</v>
      </c>
      <c r="G5" s="16">
        <v>2</v>
      </c>
    </row>
    <row r="6" spans="1:7" ht="21.75" customHeight="1" x14ac:dyDescent="0.3">
      <c r="A6" s="16" t="s">
        <v>61</v>
      </c>
      <c r="B6" s="16" t="s">
        <v>36</v>
      </c>
      <c r="C6" s="17" t="s">
        <v>62</v>
      </c>
      <c r="D6" s="17" t="s">
        <v>66</v>
      </c>
      <c r="E6" s="18">
        <v>0.34</v>
      </c>
      <c r="F6" s="17" t="s">
        <v>67</v>
      </c>
      <c r="G6" s="16">
        <v>3</v>
      </c>
    </row>
    <row r="7" spans="1:7" ht="21.75" customHeight="1" x14ac:dyDescent="0.3">
      <c r="A7" s="16" t="s">
        <v>61</v>
      </c>
      <c r="B7" s="16" t="s">
        <v>36</v>
      </c>
      <c r="C7" s="17" t="s">
        <v>62</v>
      </c>
      <c r="D7" s="17" t="s">
        <v>68</v>
      </c>
      <c r="E7" s="18">
        <v>0.09</v>
      </c>
      <c r="F7" s="17" t="s">
        <v>69</v>
      </c>
      <c r="G7" s="16">
        <v>4</v>
      </c>
    </row>
    <row r="8" spans="1:7" ht="21.75" customHeight="1" x14ac:dyDescent="0.3">
      <c r="A8" s="16" t="s">
        <v>61</v>
      </c>
      <c r="B8" s="16" t="s">
        <v>36</v>
      </c>
      <c r="C8" s="17" t="s">
        <v>62</v>
      </c>
      <c r="D8" s="17" t="s">
        <v>70</v>
      </c>
      <c r="E8" s="18">
        <v>0.03</v>
      </c>
      <c r="F8" s="17" t="s">
        <v>71</v>
      </c>
      <c r="G8" s="16">
        <v>5</v>
      </c>
    </row>
    <row r="9" spans="1:7" ht="21.75" customHeight="1" x14ac:dyDescent="0.3">
      <c r="A9" s="19" t="s">
        <v>72</v>
      </c>
      <c r="B9" s="19" t="s">
        <v>36</v>
      </c>
      <c r="C9" s="20" t="s">
        <v>73</v>
      </c>
      <c r="D9" s="20" t="s">
        <v>74</v>
      </c>
      <c r="E9" s="21">
        <v>0.31</v>
      </c>
      <c r="F9" s="20" t="s">
        <v>75</v>
      </c>
      <c r="G9" s="19">
        <v>6</v>
      </c>
    </row>
    <row r="10" spans="1:7" ht="21.75" customHeight="1" x14ac:dyDescent="0.3">
      <c r="A10" s="19" t="s">
        <v>72</v>
      </c>
      <c r="B10" s="19" t="s">
        <v>36</v>
      </c>
      <c r="C10" s="20" t="s">
        <v>73</v>
      </c>
      <c r="D10" s="20" t="s">
        <v>76</v>
      </c>
      <c r="E10" s="21">
        <v>0.31</v>
      </c>
      <c r="F10" s="20" t="s">
        <v>77</v>
      </c>
      <c r="G10" s="19">
        <v>7</v>
      </c>
    </row>
    <row r="11" spans="1:7" ht="21.75" customHeight="1" x14ac:dyDescent="0.3">
      <c r="A11" s="19" t="s">
        <v>72</v>
      </c>
      <c r="B11" s="19" t="s">
        <v>36</v>
      </c>
      <c r="C11" s="20" t="s">
        <v>73</v>
      </c>
      <c r="D11" s="20" t="s">
        <v>78</v>
      </c>
      <c r="E11" s="21">
        <v>0.38</v>
      </c>
      <c r="F11" s="20" t="s">
        <v>79</v>
      </c>
      <c r="G11" s="19">
        <v>8</v>
      </c>
    </row>
    <row r="12" spans="1:7" ht="21.75" customHeight="1" x14ac:dyDescent="0.3">
      <c r="A12" s="22" t="s">
        <v>80</v>
      </c>
      <c r="B12" s="22" t="s">
        <v>36</v>
      </c>
      <c r="C12" s="23" t="s">
        <v>81</v>
      </c>
      <c r="D12" s="23" t="s">
        <v>82</v>
      </c>
      <c r="E12" s="24">
        <v>0.22</v>
      </c>
      <c r="F12" s="23" t="s">
        <v>83</v>
      </c>
      <c r="G12" s="22">
        <v>9</v>
      </c>
    </row>
    <row r="13" spans="1:7" ht="21.75" customHeight="1" x14ac:dyDescent="0.3">
      <c r="A13" s="22" t="s">
        <v>80</v>
      </c>
      <c r="B13" s="22" t="s">
        <v>36</v>
      </c>
      <c r="C13" s="23" t="s">
        <v>81</v>
      </c>
      <c r="D13" s="23" t="s">
        <v>84</v>
      </c>
      <c r="E13" s="24">
        <v>0.3</v>
      </c>
      <c r="F13" s="23" t="s">
        <v>85</v>
      </c>
      <c r="G13" s="22">
        <v>10</v>
      </c>
    </row>
    <row r="14" spans="1:7" ht="21.75" customHeight="1" x14ac:dyDescent="0.3">
      <c r="A14" s="22" t="s">
        <v>80</v>
      </c>
      <c r="B14" s="22" t="s">
        <v>36</v>
      </c>
      <c r="C14" s="23" t="s">
        <v>81</v>
      </c>
      <c r="D14" s="23" t="s">
        <v>86</v>
      </c>
      <c r="E14" s="24">
        <v>0.3</v>
      </c>
      <c r="F14" s="23" t="s">
        <v>87</v>
      </c>
      <c r="G14" s="22">
        <v>11</v>
      </c>
    </row>
    <row r="15" spans="1:7" ht="21.75" customHeight="1" x14ac:dyDescent="0.3">
      <c r="A15" s="22" t="s">
        <v>80</v>
      </c>
      <c r="B15" s="22" t="s">
        <v>36</v>
      </c>
      <c r="C15" s="23" t="s">
        <v>81</v>
      </c>
      <c r="D15" s="23" t="s">
        <v>88</v>
      </c>
      <c r="E15" s="24">
        <v>0.09</v>
      </c>
      <c r="F15" s="23" t="s">
        <v>89</v>
      </c>
      <c r="G15" s="22">
        <v>12</v>
      </c>
    </row>
    <row r="16" spans="1:7" ht="21.75" customHeight="1" x14ac:dyDescent="0.3">
      <c r="A16" s="22" t="s">
        <v>80</v>
      </c>
      <c r="B16" s="22" t="s">
        <v>36</v>
      </c>
      <c r="C16" s="23" t="s">
        <v>81</v>
      </c>
      <c r="D16" s="23" t="s">
        <v>90</v>
      </c>
      <c r="E16" s="24">
        <v>0.09</v>
      </c>
      <c r="F16" s="23" t="s">
        <v>91</v>
      </c>
      <c r="G16" s="22">
        <v>13</v>
      </c>
    </row>
  </sheetData>
  <mergeCells count="2">
    <mergeCell ref="A1:G1"/>
    <mergeCell ref="A2:G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1"/>
  <sheetViews>
    <sheetView showGridLines="0" zoomScaleNormal="100" workbookViewId="0">
      <selection activeCell="D7" sqref="D7"/>
    </sheetView>
  </sheetViews>
  <sheetFormatPr baseColWidth="10" defaultColWidth="8.6640625" defaultRowHeight="14.4" x14ac:dyDescent="0.3"/>
  <cols>
    <col min="1" max="2" width="12" customWidth="1"/>
    <col min="3" max="3" width="14" customWidth="1"/>
    <col min="4" max="4" width="26" customWidth="1"/>
    <col min="5" max="5" width="60" customWidth="1"/>
    <col min="6" max="6" width="18" customWidth="1"/>
    <col min="7" max="7" width="26" customWidth="1"/>
    <col min="8" max="8" width="10" customWidth="1"/>
  </cols>
  <sheetData>
    <row r="1" spans="1:8" ht="36" customHeight="1" x14ac:dyDescent="0.3">
      <c r="A1" s="76" t="s">
        <v>92</v>
      </c>
      <c r="B1" s="76"/>
      <c r="C1" s="76"/>
      <c r="D1" s="76"/>
      <c r="E1" s="76"/>
      <c r="F1" s="76"/>
      <c r="G1" s="76"/>
      <c r="H1" s="76"/>
    </row>
    <row r="2" spans="1:8" ht="19.5" customHeight="1" x14ac:dyDescent="0.3">
      <c r="A2" s="77" t="s">
        <v>1000</v>
      </c>
      <c r="B2" s="77"/>
      <c r="C2" s="77"/>
      <c r="D2" s="77"/>
      <c r="E2" s="77"/>
      <c r="F2" s="77"/>
      <c r="G2" s="77"/>
      <c r="H2" s="77"/>
    </row>
    <row r="3" spans="1:8" ht="30" customHeight="1" x14ac:dyDescent="0.3">
      <c r="A3" s="6" t="s">
        <v>93</v>
      </c>
      <c r="B3" s="6" t="s">
        <v>30</v>
      </c>
      <c r="C3" s="6" t="s">
        <v>56</v>
      </c>
      <c r="D3" s="6" t="s">
        <v>58</v>
      </c>
      <c r="E3" s="6" t="s">
        <v>94</v>
      </c>
      <c r="F3" s="6" t="s">
        <v>95</v>
      </c>
      <c r="G3" s="6" t="s">
        <v>96</v>
      </c>
      <c r="H3" s="6" t="s">
        <v>97</v>
      </c>
    </row>
    <row r="4" spans="1:8" ht="24" customHeight="1" x14ac:dyDescent="0.3">
      <c r="A4" s="25" t="s">
        <v>98</v>
      </c>
      <c r="B4" s="25" t="s">
        <v>36</v>
      </c>
      <c r="C4" s="25" t="s">
        <v>61</v>
      </c>
      <c r="D4" s="26" t="s">
        <v>63</v>
      </c>
      <c r="E4" s="17" t="s">
        <v>99</v>
      </c>
      <c r="F4" s="25" t="s">
        <v>100</v>
      </c>
      <c r="G4" s="27">
        <f>1/14</f>
        <v>7.1428571428571425E-2</v>
      </c>
      <c r="H4" s="25" t="s">
        <v>40</v>
      </c>
    </row>
    <row r="5" spans="1:8" ht="24" customHeight="1" x14ac:dyDescent="0.3">
      <c r="A5" s="25" t="s">
        <v>101</v>
      </c>
      <c r="B5" s="25" t="s">
        <v>36</v>
      </c>
      <c r="C5" s="25" t="s">
        <v>61</v>
      </c>
      <c r="D5" s="26" t="s">
        <v>63</v>
      </c>
      <c r="E5" s="17" t="s">
        <v>102</v>
      </c>
      <c r="F5" s="25" t="s">
        <v>100</v>
      </c>
      <c r="G5" s="27">
        <f t="shared" ref="G5:G17" si="0">1/14</f>
        <v>7.1428571428571425E-2</v>
      </c>
      <c r="H5" s="25" t="s">
        <v>40</v>
      </c>
    </row>
    <row r="6" spans="1:8" ht="24" customHeight="1" x14ac:dyDescent="0.3">
      <c r="A6" s="25" t="s">
        <v>103</v>
      </c>
      <c r="B6" s="25" t="s">
        <v>36</v>
      </c>
      <c r="C6" s="25" t="s">
        <v>61</v>
      </c>
      <c r="D6" s="26" t="s">
        <v>63</v>
      </c>
      <c r="E6" s="17" t="s">
        <v>104</v>
      </c>
      <c r="F6" s="25" t="s">
        <v>100</v>
      </c>
      <c r="G6" s="27">
        <f t="shared" si="0"/>
        <v>7.1428571428571425E-2</v>
      </c>
      <c r="H6" s="25" t="s">
        <v>40</v>
      </c>
    </row>
    <row r="7" spans="1:8" ht="24" customHeight="1" x14ac:dyDescent="0.3">
      <c r="A7" s="25" t="s">
        <v>105</v>
      </c>
      <c r="B7" s="25" t="s">
        <v>36</v>
      </c>
      <c r="C7" s="25" t="s">
        <v>61</v>
      </c>
      <c r="D7" s="26" t="s">
        <v>63</v>
      </c>
      <c r="E7" s="28" t="s">
        <v>106</v>
      </c>
      <c r="F7" s="25" t="s">
        <v>100</v>
      </c>
      <c r="G7" s="27">
        <f t="shared" si="0"/>
        <v>7.1428571428571425E-2</v>
      </c>
      <c r="H7" s="25" t="s">
        <v>40</v>
      </c>
    </row>
    <row r="8" spans="1:8" ht="24" customHeight="1" x14ac:dyDescent="0.3">
      <c r="A8" s="25" t="s">
        <v>107</v>
      </c>
      <c r="B8" s="25" t="s">
        <v>36</v>
      </c>
      <c r="C8" s="25" t="s">
        <v>61</v>
      </c>
      <c r="D8" s="26" t="s">
        <v>63</v>
      </c>
      <c r="E8" s="28" t="s">
        <v>108</v>
      </c>
      <c r="F8" s="25" t="s">
        <v>100</v>
      </c>
      <c r="G8" s="27">
        <f t="shared" si="0"/>
        <v>7.1428571428571425E-2</v>
      </c>
      <c r="H8" s="25" t="s">
        <v>40</v>
      </c>
    </row>
    <row r="9" spans="1:8" ht="24" customHeight="1" x14ac:dyDescent="0.3">
      <c r="A9" s="25" t="s">
        <v>109</v>
      </c>
      <c r="B9" s="25" t="s">
        <v>36</v>
      </c>
      <c r="C9" s="25" t="s">
        <v>61</v>
      </c>
      <c r="D9" s="26" t="s">
        <v>63</v>
      </c>
      <c r="E9" s="28" t="s">
        <v>110</v>
      </c>
      <c r="F9" s="25" t="s">
        <v>100</v>
      </c>
      <c r="G9" s="27">
        <f t="shared" si="0"/>
        <v>7.1428571428571425E-2</v>
      </c>
      <c r="H9" s="25" t="s">
        <v>40</v>
      </c>
    </row>
    <row r="10" spans="1:8" ht="24" customHeight="1" x14ac:dyDescent="0.3">
      <c r="A10" s="25" t="s">
        <v>111</v>
      </c>
      <c r="B10" s="25" t="s">
        <v>36</v>
      </c>
      <c r="C10" s="25" t="s">
        <v>61</v>
      </c>
      <c r="D10" s="26" t="s">
        <v>63</v>
      </c>
      <c r="E10" s="28" t="s">
        <v>112</v>
      </c>
      <c r="F10" s="25" t="s">
        <v>100</v>
      </c>
      <c r="G10" s="27">
        <f t="shared" si="0"/>
        <v>7.1428571428571425E-2</v>
      </c>
      <c r="H10" s="25" t="s">
        <v>40</v>
      </c>
    </row>
    <row r="11" spans="1:8" ht="24" customHeight="1" x14ac:dyDescent="0.3">
      <c r="A11" s="25" t="s">
        <v>113</v>
      </c>
      <c r="B11" s="25" t="s">
        <v>36</v>
      </c>
      <c r="C11" s="25" t="s">
        <v>61</v>
      </c>
      <c r="D11" s="26" t="s">
        <v>63</v>
      </c>
      <c r="E11" s="28" t="s">
        <v>114</v>
      </c>
      <c r="F11" s="25" t="s">
        <v>100</v>
      </c>
      <c r="G11" s="27">
        <f t="shared" si="0"/>
        <v>7.1428571428571425E-2</v>
      </c>
      <c r="H11" s="25" t="s">
        <v>40</v>
      </c>
    </row>
    <row r="12" spans="1:8" ht="24" customHeight="1" x14ac:dyDescent="0.3">
      <c r="A12" s="25" t="s">
        <v>115</v>
      </c>
      <c r="B12" s="25" t="s">
        <v>36</v>
      </c>
      <c r="C12" s="25" t="s">
        <v>61</v>
      </c>
      <c r="D12" s="26" t="s">
        <v>63</v>
      </c>
      <c r="E12" s="28" t="s">
        <v>116</v>
      </c>
      <c r="F12" s="25" t="s">
        <v>100</v>
      </c>
      <c r="G12" s="27">
        <f t="shared" si="0"/>
        <v>7.1428571428571425E-2</v>
      </c>
      <c r="H12" s="25" t="s">
        <v>40</v>
      </c>
    </row>
    <row r="13" spans="1:8" ht="24" customHeight="1" x14ac:dyDescent="0.3">
      <c r="A13" s="25" t="s">
        <v>117</v>
      </c>
      <c r="B13" s="25" t="s">
        <v>36</v>
      </c>
      <c r="C13" s="25" t="s">
        <v>61</v>
      </c>
      <c r="D13" s="26" t="s">
        <v>63</v>
      </c>
      <c r="E13" s="28" t="s">
        <v>118</v>
      </c>
      <c r="F13" s="25" t="s">
        <v>100</v>
      </c>
      <c r="G13" s="27">
        <f t="shared" si="0"/>
        <v>7.1428571428571425E-2</v>
      </c>
      <c r="H13" s="25" t="s">
        <v>40</v>
      </c>
    </row>
    <row r="14" spans="1:8" ht="24" customHeight="1" x14ac:dyDescent="0.3">
      <c r="A14" s="25" t="s">
        <v>119</v>
      </c>
      <c r="B14" s="25" t="s">
        <v>36</v>
      </c>
      <c r="C14" s="25" t="s">
        <v>61</v>
      </c>
      <c r="D14" s="26" t="s">
        <v>63</v>
      </c>
      <c r="E14" s="28" t="s">
        <v>120</v>
      </c>
      <c r="F14" s="25" t="s">
        <v>100</v>
      </c>
      <c r="G14" s="27">
        <f t="shared" si="0"/>
        <v>7.1428571428571425E-2</v>
      </c>
      <c r="H14" s="25" t="s">
        <v>40</v>
      </c>
    </row>
    <row r="15" spans="1:8" ht="24" customHeight="1" x14ac:dyDescent="0.3">
      <c r="A15" s="25" t="s">
        <v>121</v>
      </c>
      <c r="B15" s="25" t="s">
        <v>36</v>
      </c>
      <c r="C15" s="25" t="s">
        <v>61</v>
      </c>
      <c r="D15" s="26" t="s">
        <v>63</v>
      </c>
      <c r="E15" s="28" t="s">
        <v>122</v>
      </c>
      <c r="F15" s="25" t="s">
        <v>100</v>
      </c>
      <c r="G15" s="27">
        <f t="shared" si="0"/>
        <v>7.1428571428571425E-2</v>
      </c>
      <c r="H15" s="25" t="s">
        <v>40</v>
      </c>
    </row>
    <row r="16" spans="1:8" ht="24" customHeight="1" x14ac:dyDescent="0.3">
      <c r="A16" s="25" t="s">
        <v>123</v>
      </c>
      <c r="B16" s="25" t="s">
        <v>36</v>
      </c>
      <c r="C16" s="25" t="s">
        <v>61</v>
      </c>
      <c r="D16" s="26" t="s">
        <v>63</v>
      </c>
      <c r="E16" s="28" t="s">
        <v>124</v>
      </c>
      <c r="F16" s="25" t="s">
        <v>100</v>
      </c>
      <c r="G16" s="27">
        <f t="shared" si="0"/>
        <v>7.1428571428571425E-2</v>
      </c>
      <c r="H16" s="25" t="s">
        <v>40</v>
      </c>
    </row>
    <row r="17" spans="1:8" ht="24" customHeight="1" x14ac:dyDescent="0.3">
      <c r="A17" s="25" t="s">
        <v>125</v>
      </c>
      <c r="B17" s="25" t="s">
        <v>36</v>
      </c>
      <c r="C17" s="25" t="s">
        <v>61</v>
      </c>
      <c r="D17" s="26" t="s">
        <v>63</v>
      </c>
      <c r="E17" s="28" t="s">
        <v>126</v>
      </c>
      <c r="F17" s="25" t="s">
        <v>100</v>
      </c>
      <c r="G17" s="27">
        <f t="shared" si="0"/>
        <v>7.1428571428571425E-2</v>
      </c>
      <c r="H17" s="25" t="s">
        <v>40</v>
      </c>
    </row>
    <row r="18" spans="1:8" ht="24" customHeight="1" x14ac:dyDescent="0.3">
      <c r="A18" s="25" t="s">
        <v>127</v>
      </c>
      <c r="B18" s="25" t="s">
        <v>36</v>
      </c>
      <c r="C18" s="25" t="s">
        <v>61</v>
      </c>
      <c r="D18" s="26" t="s">
        <v>37</v>
      </c>
      <c r="E18" s="28" t="s">
        <v>128</v>
      </c>
      <c r="F18" s="25" t="s">
        <v>100</v>
      </c>
      <c r="G18" s="27">
        <f>1/5</f>
        <v>0.2</v>
      </c>
      <c r="H18" s="25" t="s">
        <v>40</v>
      </c>
    </row>
    <row r="19" spans="1:8" ht="24" customHeight="1" x14ac:dyDescent="0.3">
      <c r="A19" s="25" t="s">
        <v>129</v>
      </c>
      <c r="B19" s="25" t="s">
        <v>36</v>
      </c>
      <c r="C19" s="25" t="s">
        <v>61</v>
      </c>
      <c r="D19" s="26" t="s">
        <v>37</v>
      </c>
      <c r="E19" s="28" t="s">
        <v>130</v>
      </c>
      <c r="F19" s="25" t="s">
        <v>100</v>
      </c>
      <c r="G19" s="27">
        <f t="shared" ref="G19:G22" si="1">1/5</f>
        <v>0.2</v>
      </c>
      <c r="H19" s="25" t="s">
        <v>40</v>
      </c>
    </row>
    <row r="20" spans="1:8" ht="24" customHeight="1" x14ac:dyDescent="0.3">
      <c r="A20" s="25" t="s">
        <v>131</v>
      </c>
      <c r="B20" s="25" t="s">
        <v>36</v>
      </c>
      <c r="C20" s="25" t="s">
        <v>61</v>
      </c>
      <c r="D20" s="26" t="s">
        <v>37</v>
      </c>
      <c r="E20" s="28" t="s">
        <v>132</v>
      </c>
      <c r="F20" s="25" t="s">
        <v>100</v>
      </c>
      <c r="G20" s="27">
        <f t="shared" si="1"/>
        <v>0.2</v>
      </c>
      <c r="H20" s="25" t="s">
        <v>40</v>
      </c>
    </row>
    <row r="21" spans="1:8" ht="24" customHeight="1" x14ac:dyDescent="0.3">
      <c r="A21" s="25" t="s">
        <v>133</v>
      </c>
      <c r="B21" s="25" t="s">
        <v>36</v>
      </c>
      <c r="C21" s="25" t="s">
        <v>61</v>
      </c>
      <c r="D21" s="26" t="s">
        <v>37</v>
      </c>
      <c r="E21" s="28" t="s">
        <v>134</v>
      </c>
      <c r="F21" s="25" t="s">
        <v>100</v>
      </c>
      <c r="G21" s="27">
        <f t="shared" si="1"/>
        <v>0.2</v>
      </c>
      <c r="H21" s="25" t="s">
        <v>40</v>
      </c>
    </row>
    <row r="22" spans="1:8" ht="24" customHeight="1" x14ac:dyDescent="0.3">
      <c r="A22" s="25" t="s">
        <v>135</v>
      </c>
      <c r="B22" s="25" t="s">
        <v>36</v>
      </c>
      <c r="C22" s="25" t="s">
        <v>61</v>
      </c>
      <c r="D22" s="26" t="s">
        <v>37</v>
      </c>
      <c r="E22" s="28" t="s">
        <v>136</v>
      </c>
      <c r="F22" s="25" t="s">
        <v>100</v>
      </c>
      <c r="G22" s="27">
        <f t="shared" si="1"/>
        <v>0.2</v>
      </c>
      <c r="H22" s="25" t="s">
        <v>40</v>
      </c>
    </row>
    <row r="23" spans="1:8" ht="24" customHeight="1" x14ac:dyDescent="0.3">
      <c r="A23" s="25" t="s">
        <v>137</v>
      </c>
      <c r="B23" s="25" t="s">
        <v>36</v>
      </c>
      <c r="C23" s="25" t="s">
        <v>61</v>
      </c>
      <c r="D23" s="26" t="s">
        <v>66</v>
      </c>
      <c r="E23" s="28" t="s">
        <v>138</v>
      </c>
      <c r="F23" s="25" t="s">
        <v>100</v>
      </c>
      <c r="G23" s="27">
        <f>1/12</f>
        <v>8.3333333333333329E-2</v>
      </c>
      <c r="H23" s="25" t="s">
        <v>40</v>
      </c>
    </row>
    <row r="24" spans="1:8" ht="24" customHeight="1" x14ac:dyDescent="0.3">
      <c r="A24" s="25" t="s">
        <v>139</v>
      </c>
      <c r="B24" s="25" t="s">
        <v>36</v>
      </c>
      <c r="C24" s="25" t="s">
        <v>61</v>
      </c>
      <c r="D24" s="26" t="s">
        <v>66</v>
      </c>
      <c r="E24" s="28" t="s">
        <v>140</v>
      </c>
      <c r="F24" s="25" t="s">
        <v>100</v>
      </c>
      <c r="G24" s="27">
        <f t="shared" ref="G24:G34" si="2">1/12</f>
        <v>8.3333333333333329E-2</v>
      </c>
      <c r="H24" s="25" t="s">
        <v>40</v>
      </c>
    </row>
    <row r="25" spans="1:8" ht="24" customHeight="1" x14ac:dyDescent="0.3">
      <c r="A25" s="25" t="s">
        <v>141</v>
      </c>
      <c r="B25" s="25" t="s">
        <v>36</v>
      </c>
      <c r="C25" s="25" t="s">
        <v>61</v>
      </c>
      <c r="D25" s="26" t="s">
        <v>66</v>
      </c>
      <c r="E25" s="28" t="s">
        <v>142</v>
      </c>
      <c r="F25" s="25" t="s">
        <v>100</v>
      </c>
      <c r="G25" s="27">
        <f t="shared" si="2"/>
        <v>8.3333333333333329E-2</v>
      </c>
      <c r="H25" s="25" t="s">
        <v>40</v>
      </c>
    </row>
    <row r="26" spans="1:8" ht="24" customHeight="1" x14ac:dyDescent="0.3">
      <c r="A26" s="25" t="s">
        <v>143</v>
      </c>
      <c r="B26" s="25" t="s">
        <v>36</v>
      </c>
      <c r="C26" s="25" t="s">
        <v>61</v>
      </c>
      <c r="D26" s="26" t="s">
        <v>66</v>
      </c>
      <c r="E26" s="28" t="s">
        <v>144</v>
      </c>
      <c r="F26" s="25" t="s">
        <v>100</v>
      </c>
      <c r="G26" s="27">
        <f t="shared" si="2"/>
        <v>8.3333333333333329E-2</v>
      </c>
      <c r="H26" s="25" t="s">
        <v>40</v>
      </c>
    </row>
    <row r="27" spans="1:8" ht="24" customHeight="1" x14ac:dyDescent="0.3">
      <c r="A27" s="25" t="s">
        <v>145</v>
      </c>
      <c r="B27" s="25" t="s">
        <v>36</v>
      </c>
      <c r="C27" s="25" t="s">
        <v>61</v>
      </c>
      <c r="D27" s="26" t="s">
        <v>66</v>
      </c>
      <c r="E27" s="28" t="s">
        <v>146</v>
      </c>
      <c r="F27" s="25" t="s">
        <v>100</v>
      </c>
      <c r="G27" s="27">
        <f t="shared" si="2"/>
        <v>8.3333333333333329E-2</v>
      </c>
      <c r="H27" s="25" t="s">
        <v>40</v>
      </c>
    </row>
    <row r="28" spans="1:8" ht="24" customHeight="1" x14ac:dyDescent="0.3">
      <c r="A28" s="25" t="s">
        <v>147</v>
      </c>
      <c r="B28" s="25" t="s">
        <v>36</v>
      </c>
      <c r="C28" s="25" t="s">
        <v>61</v>
      </c>
      <c r="D28" s="26" t="s">
        <v>66</v>
      </c>
      <c r="E28" s="28" t="s">
        <v>148</v>
      </c>
      <c r="F28" s="25" t="s">
        <v>100</v>
      </c>
      <c r="G28" s="27">
        <f t="shared" si="2"/>
        <v>8.3333333333333329E-2</v>
      </c>
      <c r="H28" s="25" t="s">
        <v>40</v>
      </c>
    </row>
    <row r="29" spans="1:8" ht="24" customHeight="1" x14ac:dyDescent="0.3">
      <c r="A29" s="25" t="s">
        <v>149</v>
      </c>
      <c r="B29" s="25" t="s">
        <v>36</v>
      </c>
      <c r="C29" s="25" t="s">
        <v>61</v>
      </c>
      <c r="D29" s="26" t="s">
        <v>66</v>
      </c>
      <c r="E29" s="28" t="s">
        <v>150</v>
      </c>
      <c r="F29" s="25" t="s">
        <v>100</v>
      </c>
      <c r="G29" s="27">
        <f t="shared" si="2"/>
        <v>8.3333333333333329E-2</v>
      </c>
      <c r="H29" s="25" t="s">
        <v>40</v>
      </c>
    </row>
    <row r="30" spans="1:8" ht="24" customHeight="1" x14ac:dyDescent="0.3">
      <c r="A30" s="25" t="s">
        <v>151</v>
      </c>
      <c r="B30" s="25" t="s">
        <v>36</v>
      </c>
      <c r="C30" s="25" t="s">
        <v>61</v>
      </c>
      <c r="D30" s="26" t="s">
        <v>66</v>
      </c>
      <c r="E30" s="28" t="s">
        <v>120</v>
      </c>
      <c r="F30" s="25" t="s">
        <v>100</v>
      </c>
      <c r="G30" s="27">
        <f t="shared" si="2"/>
        <v>8.3333333333333329E-2</v>
      </c>
      <c r="H30" s="25" t="s">
        <v>40</v>
      </c>
    </row>
    <row r="31" spans="1:8" ht="24" customHeight="1" x14ac:dyDescent="0.3">
      <c r="A31" s="25" t="s">
        <v>152</v>
      </c>
      <c r="B31" s="25" t="s">
        <v>36</v>
      </c>
      <c r="C31" s="25" t="s">
        <v>61</v>
      </c>
      <c r="D31" s="26" t="s">
        <v>66</v>
      </c>
      <c r="E31" s="28" t="s">
        <v>153</v>
      </c>
      <c r="F31" s="25" t="s">
        <v>100</v>
      </c>
      <c r="G31" s="27">
        <f t="shared" si="2"/>
        <v>8.3333333333333329E-2</v>
      </c>
      <c r="H31" s="25" t="s">
        <v>40</v>
      </c>
    </row>
    <row r="32" spans="1:8" ht="24" customHeight="1" x14ac:dyDescent="0.3">
      <c r="A32" s="25" t="s">
        <v>154</v>
      </c>
      <c r="B32" s="25" t="s">
        <v>36</v>
      </c>
      <c r="C32" s="25" t="s">
        <v>61</v>
      </c>
      <c r="D32" s="26" t="s">
        <v>66</v>
      </c>
      <c r="E32" s="28" t="s">
        <v>155</v>
      </c>
      <c r="F32" s="25" t="s">
        <v>100</v>
      </c>
      <c r="G32" s="27">
        <f t="shared" si="2"/>
        <v>8.3333333333333329E-2</v>
      </c>
      <c r="H32" s="25" t="s">
        <v>40</v>
      </c>
    </row>
    <row r="33" spans="1:8" ht="24" customHeight="1" x14ac:dyDescent="0.3">
      <c r="A33" s="25" t="s">
        <v>156</v>
      </c>
      <c r="B33" s="25" t="s">
        <v>36</v>
      </c>
      <c r="C33" s="25" t="s">
        <v>61</v>
      </c>
      <c r="D33" s="26" t="s">
        <v>66</v>
      </c>
      <c r="E33" s="28" t="s">
        <v>157</v>
      </c>
      <c r="F33" s="25" t="s">
        <v>100</v>
      </c>
      <c r="G33" s="27">
        <f t="shared" si="2"/>
        <v>8.3333333333333329E-2</v>
      </c>
      <c r="H33" s="25" t="s">
        <v>40</v>
      </c>
    </row>
    <row r="34" spans="1:8" ht="24" customHeight="1" x14ac:dyDescent="0.3">
      <c r="A34" s="25" t="s">
        <v>158</v>
      </c>
      <c r="B34" s="25" t="s">
        <v>36</v>
      </c>
      <c r="C34" s="25" t="s">
        <v>61</v>
      </c>
      <c r="D34" s="26" t="s">
        <v>66</v>
      </c>
      <c r="E34" s="28" t="s">
        <v>159</v>
      </c>
      <c r="F34" s="25" t="s">
        <v>100</v>
      </c>
      <c r="G34" s="27">
        <f t="shared" si="2"/>
        <v>8.3333333333333329E-2</v>
      </c>
      <c r="H34" s="25" t="s">
        <v>40</v>
      </c>
    </row>
    <row r="35" spans="1:8" ht="24" customHeight="1" x14ac:dyDescent="0.3">
      <c r="A35" s="25" t="s">
        <v>160</v>
      </c>
      <c r="B35" s="25" t="s">
        <v>36</v>
      </c>
      <c r="C35" s="25" t="s">
        <v>61</v>
      </c>
      <c r="D35" s="26" t="s">
        <v>68</v>
      </c>
      <c r="E35" s="28" t="s">
        <v>161</v>
      </c>
      <c r="F35" s="25" t="s">
        <v>100</v>
      </c>
      <c r="G35" s="27">
        <f>1/3</f>
        <v>0.33333333333333331</v>
      </c>
      <c r="H35" s="25" t="s">
        <v>40</v>
      </c>
    </row>
    <row r="36" spans="1:8" ht="24" customHeight="1" x14ac:dyDescent="0.3">
      <c r="A36" s="25" t="s">
        <v>162</v>
      </c>
      <c r="B36" s="25" t="s">
        <v>36</v>
      </c>
      <c r="C36" s="25" t="s">
        <v>61</v>
      </c>
      <c r="D36" s="26" t="s">
        <v>68</v>
      </c>
      <c r="E36" s="28" t="s">
        <v>163</v>
      </c>
      <c r="F36" s="25" t="s">
        <v>100</v>
      </c>
      <c r="G36" s="27">
        <f t="shared" ref="G36:G37" si="3">1/3</f>
        <v>0.33333333333333331</v>
      </c>
      <c r="H36" s="25" t="s">
        <v>40</v>
      </c>
    </row>
    <row r="37" spans="1:8" ht="24" customHeight="1" x14ac:dyDescent="0.3">
      <c r="A37" s="25" t="s">
        <v>164</v>
      </c>
      <c r="B37" s="25" t="s">
        <v>36</v>
      </c>
      <c r="C37" s="25" t="s">
        <v>61</v>
      </c>
      <c r="D37" s="26" t="s">
        <v>68</v>
      </c>
      <c r="E37" s="28" t="s">
        <v>165</v>
      </c>
      <c r="F37" s="25" t="s">
        <v>100</v>
      </c>
      <c r="G37" s="27">
        <f t="shared" si="3"/>
        <v>0.33333333333333331</v>
      </c>
      <c r="H37" s="25" t="s">
        <v>40</v>
      </c>
    </row>
    <row r="38" spans="1:8" ht="24" customHeight="1" x14ac:dyDescent="0.3">
      <c r="A38" s="29" t="s">
        <v>166</v>
      </c>
      <c r="B38" s="25" t="s">
        <v>36</v>
      </c>
      <c r="C38" s="25" t="s">
        <v>61</v>
      </c>
      <c r="D38" s="26" t="s">
        <v>70</v>
      </c>
      <c r="E38" s="28" t="s">
        <v>167</v>
      </c>
      <c r="F38" s="25" t="s">
        <v>100</v>
      </c>
      <c r="G38" s="27">
        <f>1/1</f>
        <v>1</v>
      </c>
      <c r="H38" s="25" t="s">
        <v>40</v>
      </c>
    </row>
    <row r="39" spans="1:8" ht="24" customHeight="1" x14ac:dyDescent="0.3">
      <c r="A39" s="30" t="s">
        <v>168</v>
      </c>
      <c r="B39" s="31" t="s">
        <v>36</v>
      </c>
      <c r="C39" s="31" t="s">
        <v>72</v>
      </c>
      <c r="D39" s="32" t="s">
        <v>74</v>
      </c>
      <c r="E39" s="33" t="s">
        <v>169</v>
      </c>
      <c r="F39" s="31" t="s">
        <v>100</v>
      </c>
      <c r="G39" s="34">
        <f>1/5</f>
        <v>0.2</v>
      </c>
      <c r="H39" s="31" t="s">
        <v>40</v>
      </c>
    </row>
    <row r="40" spans="1:8" ht="24" customHeight="1" x14ac:dyDescent="0.3">
      <c r="A40" s="30" t="s">
        <v>170</v>
      </c>
      <c r="B40" s="31" t="s">
        <v>36</v>
      </c>
      <c r="C40" s="31" t="s">
        <v>72</v>
      </c>
      <c r="D40" s="32" t="s">
        <v>74</v>
      </c>
      <c r="E40" s="33" t="s">
        <v>171</v>
      </c>
      <c r="F40" s="31" t="s">
        <v>100</v>
      </c>
      <c r="G40" s="34">
        <f t="shared" ref="G40:G43" si="4">1/5</f>
        <v>0.2</v>
      </c>
      <c r="H40" s="31" t="s">
        <v>40</v>
      </c>
    </row>
    <row r="41" spans="1:8" ht="24" customHeight="1" x14ac:dyDescent="0.3">
      <c r="A41" s="30" t="s">
        <v>172</v>
      </c>
      <c r="B41" s="31" t="s">
        <v>36</v>
      </c>
      <c r="C41" s="31" t="s">
        <v>72</v>
      </c>
      <c r="D41" s="32" t="s">
        <v>74</v>
      </c>
      <c r="E41" s="33" t="s">
        <v>173</v>
      </c>
      <c r="F41" s="31" t="s">
        <v>100</v>
      </c>
      <c r="G41" s="34">
        <f t="shared" si="4"/>
        <v>0.2</v>
      </c>
      <c r="H41" s="31" t="s">
        <v>40</v>
      </c>
    </row>
    <row r="42" spans="1:8" ht="24" customHeight="1" x14ac:dyDescent="0.3">
      <c r="A42" s="30" t="s">
        <v>174</v>
      </c>
      <c r="B42" s="31" t="s">
        <v>36</v>
      </c>
      <c r="C42" s="31" t="s">
        <v>72</v>
      </c>
      <c r="D42" s="32" t="s">
        <v>74</v>
      </c>
      <c r="E42" s="33" t="s">
        <v>175</v>
      </c>
      <c r="F42" s="31" t="s">
        <v>100</v>
      </c>
      <c r="G42" s="34">
        <f t="shared" si="4"/>
        <v>0.2</v>
      </c>
      <c r="H42" s="31" t="s">
        <v>40</v>
      </c>
    </row>
    <row r="43" spans="1:8" ht="24" customHeight="1" x14ac:dyDescent="0.3">
      <c r="A43" s="30" t="s">
        <v>176</v>
      </c>
      <c r="B43" s="31" t="s">
        <v>36</v>
      </c>
      <c r="C43" s="31" t="s">
        <v>72</v>
      </c>
      <c r="D43" s="32" t="s">
        <v>74</v>
      </c>
      <c r="E43" s="33" t="s">
        <v>177</v>
      </c>
      <c r="F43" s="31" t="s">
        <v>100</v>
      </c>
      <c r="G43" s="34">
        <f t="shared" si="4"/>
        <v>0.2</v>
      </c>
      <c r="H43" s="31" t="s">
        <v>40</v>
      </c>
    </row>
    <row r="44" spans="1:8" ht="24" customHeight="1" x14ac:dyDescent="0.3">
      <c r="A44" s="30" t="s">
        <v>178</v>
      </c>
      <c r="B44" s="31" t="s">
        <v>36</v>
      </c>
      <c r="C44" s="31" t="s">
        <v>72</v>
      </c>
      <c r="D44" s="32" t="s">
        <v>76</v>
      </c>
      <c r="E44" s="33" t="s">
        <v>179</v>
      </c>
      <c r="F44" s="31" t="s">
        <v>100</v>
      </c>
      <c r="G44" s="34">
        <f>1/9</f>
        <v>0.1111111111111111</v>
      </c>
      <c r="H44" s="31" t="s">
        <v>40</v>
      </c>
    </row>
    <row r="45" spans="1:8" ht="24" customHeight="1" x14ac:dyDescent="0.3">
      <c r="A45" s="30" t="s">
        <v>180</v>
      </c>
      <c r="B45" s="31" t="s">
        <v>36</v>
      </c>
      <c r="C45" s="31" t="s">
        <v>72</v>
      </c>
      <c r="D45" s="32" t="s">
        <v>76</v>
      </c>
      <c r="E45" s="33" t="s">
        <v>181</v>
      </c>
      <c r="F45" s="31" t="s">
        <v>100</v>
      </c>
      <c r="G45" s="34">
        <f t="shared" ref="G45:G52" si="5">1/9</f>
        <v>0.1111111111111111</v>
      </c>
      <c r="H45" s="31" t="s">
        <v>40</v>
      </c>
    </row>
    <row r="46" spans="1:8" ht="24" customHeight="1" x14ac:dyDescent="0.3">
      <c r="A46" s="30" t="s">
        <v>182</v>
      </c>
      <c r="B46" s="31" t="s">
        <v>36</v>
      </c>
      <c r="C46" s="31" t="s">
        <v>72</v>
      </c>
      <c r="D46" s="32" t="s">
        <v>76</v>
      </c>
      <c r="E46" s="33" t="s">
        <v>183</v>
      </c>
      <c r="F46" s="31" t="s">
        <v>100</v>
      </c>
      <c r="G46" s="34">
        <f t="shared" si="5"/>
        <v>0.1111111111111111</v>
      </c>
      <c r="H46" s="31" t="s">
        <v>40</v>
      </c>
    </row>
    <row r="47" spans="1:8" ht="24" customHeight="1" x14ac:dyDescent="0.3">
      <c r="A47" s="30" t="s">
        <v>184</v>
      </c>
      <c r="B47" s="31" t="s">
        <v>36</v>
      </c>
      <c r="C47" s="31" t="s">
        <v>72</v>
      </c>
      <c r="D47" s="32" t="s">
        <v>76</v>
      </c>
      <c r="E47" s="33" t="s">
        <v>185</v>
      </c>
      <c r="F47" s="31" t="s">
        <v>100</v>
      </c>
      <c r="G47" s="34">
        <f t="shared" si="5"/>
        <v>0.1111111111111111</v>
      </c>
      <c r="H47" s="31" t="s">
        <v>40</v>
      </c>
    </row>
    <row r="48" spans="1:8" ht="24" customHeight="1" x14ac:dyDescent="0.3">
      <c r="A48" s="30" t="s">
        <v>186</v>
      </c>
      <c r="B48" s="31" t="s">
        <v>36</v>
      </c>
      <c r="C48" s="31" t="s">
        <v>72</v>
      </c>
      <c r="D48" s="32" t="s">
        <v>76</v>
      </c>
      <c r="E48" s="33" t="s">
        <v>187</v>
      </c>
      <c r="F48" s="31" t="s">
        <v>100</v>
      </c>
      <c r="G48" s="34">
        <f t="shared" si="5"/>
        <v>0.1111111111111111</v>
      </c>
      <c r="H48" s="31" t="s">
        <v>40</v>
      </c>
    </row>
    <row r="49" spans="1:8" ht="24" customHeight="1" x14ac:dyDescent="0.3">
      <c r="A49" s="30" t="s">
        <v>188</v>
      </c>
      <c r="B49" s="31" t="s">
        <v>36</v>
      </c>
      <c r="C49" s="31" t="s">
        <v>72</v>
      </c>
      <c r="D49" s="32" t="s">
        <v>76</v>
      </c>
      <c r="E49" s="33" t="s">
        <v>189</v>
      </c>
      <c r="F49" s="31" t="s">
        <v>100</v>
      </c>
      <c r="G49" s="34">
        <f t="shared" si="5"/>
        <v>0.1111111111111111</v>
      </c>
      <c r="H49" s="31" t="s">
        <v>40</v>
      </c>
    </row>
    <row r="50" spans="1:8" ht="24" customHeight="1" x14ac:dyDescent="0.3">
      <c r="A50" s="30" t="s">
        <v>190</v>
      </c>
      <c r="B50" s="31" t="s">
        <v>36</v>
      </c>
      <c r="C50" s="31" t="s">
        <v>72</v>
      </c>
      <c r="D50" s="32" t="s">
        <v>76</v>
      </c>
      <c r="E50" s="33" t="s">
        <v>191</v>
      </c>
      <c r="F50" s="31" t="s">
        <v>100</v>
      </c>
      <c r="G50" s="34">
        <f t="shared" si="5"/>
        <v>0.1111111111111111</v>
      </c>
      <c r="H50" s="31" t="s">
        <v>40</v>
      </c>
    </row>
    <row r="51" spans="1:8" ht="24" customHeight="1" x14ac:dyDescent="0.3">
      <c r="A51" s="30" t="s">
        <v>192</v>
      </c>
      <c r="B51" s="31" t="s">
        <v>36</v>
      </c>
      <c r="C51" s="31" t="s">
        <v>72</v>
      </c>
      <c r="D51" s="32" t="s">
        <v>76</v>
      </c>
      <c r="E51" s="33" t="s">
        <v>193</v>
      </c>
      <c r="F51" s="31" t="s">
        <v>100</v>
      </c>
      <c r="G51" s="34">
        <f t="shared" si="5"/>
        <v>0.1111111111111111</v>
      </c>
      <c r="H51" s="31" t="s">
        <v>40</v>
      </c>
    </row>
    <row r="52" spans="1:8" ht="24" customHeight="1" x14ac:dyDescent="0.3">
      <c r="A52" s="30" t="s">
        <v>194</v>
      </c>
      <c r="B52" s="31" t="s">
        <v>36</v>
      </c>
      <c r="C52" s="31" t="s">
        <v>72</v>
      </c>
      <c r="D52" s="32" t="s">
        <v>76</v>
      </c>
      <c r="E52" s="33" t="s">
        <v>195</v>
      </c>
      <c r="F52" s="31" t="s">
        <v>100</v>
      </c>
      <c r="G52" s="34">
        <f t="shared" si="5"/>
        <v>0.1111111111111111</v>
      </c>
      <c r="H52" s="31" t="s">
        <v>40</v>
      </c>
    </row>
    <row r="53" spans="1:8" ht="24" customHeight="1" x14ac:dyDescent="0.3">
      <c r="A53" s="30" t="s">
        <v>196</v>
      </c>
      <c r="B53" s="31" t="s">
        <v>36</v>
      </c>
      <c r="C53" s="31" t="s">
        <v>72</v>
      </c>
      <c r="D53" s="32" t="s">
        <v>78</v>
      </c>
      <c r="E53" s="33" t="s">
        <v>197</v>
      </c>
      <c r="F53" s="31" t="s">
        <v>100</v>
      </c>
      <c r="G53" s="34">
        <f>1/6</f>
        <v>0.16666666666666666</v>
      </c>
      <c r="H53" s="31" t="s">
        <v>40</v>
      </c>
    </row>
    <row r="54" spans="1:8" ht="24" customHeight="1" x14ac:dyDescent="0.3">
      <c r="A54" s="30" t="s">
        <v>198</v>
      </c>
      <c r="B54" s="31" t="s">
        <v>36</v>
      </c>
      <c r="C54" s="31" t="s">
        <v>72</v>
      </c>
      <c r="D54" s="32" t="s">
        <v>78</v>
      </c>
      <c r="E54" s="33" t="s">
        <v>199</v>
      </c>
      <c r="F54" s="31" t="s">
        <v>100</v>
      </c>
      <c r="G54" s="34">
        <f t="shared" ref="G54:G58" si="6">1/6</f>
        <v>0.16666666666666666</v>
      </c>
      <c r="H54" s="31" t="s">
        <v>40</v>
      </c>
    </row>
    <row r="55" spans="1:8" ht="24" customHeight="1" x14ac:dyDescent="0.3">
      <c r="A55" s="30" t="s">
        <v>200</v>
      </c>
      <c r="B55" s="31" t="s">
        <v>36</v>
      </c>
      <c r="C55" s="31" t="s">
        <v>72</v>
      </c>
      <c r="D55" s="32" t="s">
        <v>78</v>
      </c>
      <c r="E55" s="33" t="s">
        <v>201</v>
      </c>
      <c r="F55" s="31" t="s">
        <v>100</v>
      </c>
      <c r="G55" s="34">
        <f t="shared" si="6"/>
        <v>0.16666666666666666</v>
      </c>
      <c r="H55" s="31" t="s">
        <v>40</v>
      </c>
    </row>
    <row r="56" spans="1:8" ht="24" customHeight="1" x14ac:dyDescent="0.3">
      <c r="A56" s="30" t="s">
        <v>202</v>
      </c>
      <c r="B56" s="31" t="s">
        <v>36</v>
      </c>
      <c r="C56" s="31" t="s">
        <v>72</v>
      </c>
      <c r="D56" s="32" t="s">
        <v>78</v>
      </c>
      <c r="E56" s="33" t="s">
        <v>203</v>
      </c>
      <c r="F56" s="31" t="s">
        <v>100</v>
      </c>
      <c r="G56" s="34">
        <f t="shared" si="6"/>
        <v>0.16666666666666666</v>
      </c>
      <c r="H56" s="31" t="s">
        <v>40</v>
      </c>
    </row>
    <row r="57" spans="1:8" ht="24" customHeight="1" x14ac:dyDescent="0.3">
      <c r="A57" s="30" t="s">
        <v>204</v>
      </c>
      <c r="B57" s="31" t="s">
        <v>36</v>
      </c>
      <c r="C57" s="31" t="s">
        <v>72</v>
      </c>
      <c r="D57" s="32" t="s">
        <v>78</v>
      </c>
      <c r="E57" s="33" t="s">
        <v>205</v>
      </c>
      <c r="F57" s="31" t="s">
        <v>100</v>
      </c>
      <c r="G57" s="34">
        <f t="shared" si="6"/>
        <v>0.16666666666666666</v>
      </c>
      <c r="H57" s="31" t="s">
        <v>40</v>
      </c>
    </row>
    <row r="58" spans="1:8" ht="24" customHeight="1" x14ac:dyDescent="0.3">
      <c r="A58" s="30" t="s">
        <v>206</v>
      </c>
      <c r="B58" s="31" t="s">
        <v>36</v>
      </c>
      <c r="C58" s="31" t="s">
        <v>72</v>
      </c>
      <c r="D58" s="32" t="s">
        <v>78</v>
      </c>
      <c r="E58" s="33" t="s">
        <v>207</v>
      </c>
      <c r="F58" s="31" t="s">
        <v>100</v>
      </c>
      <c r="G58" s="34">
        <f t="shared" si="6"/>
        <v>0.16666666666666666</v>
      </c>
      <c r="H58" s="31" t="s">
        <v>40</v>
      </c>
    </row>
    <row r="59" spans="1:8" ht="24" customHeight="1" x14ac:dyDescent="0.3">
      <c r="A59" s="35" t="s">
        <v>208</v>
      </c>
      <c r="B59" s="36" t="s">
        <v>36</v>
      </c>
      <c r="C59" s="36" t="s">
        <v>80</v>
      </c>
      <c r="D59" s="37" t="s">
        <v>82</v>
      </c>
      <c r="E59" s="38" t="s">
        <v>209</v>
      </c>
      <c r="F59" s="36" t="s">
        <v>100</v>
      </c>
      <c r="G59" s="39">
        <f>1/5</f>
        <v>0.2</v>
      </c>
      <c r="H59" s="36" t="s">
        <v>40</v>
      </c>
    </row>
    <row r="60" spans="1:8" ht="24" customHeight="1" x14ac:dyDescent="0.3">
      <c r="A60" s="35" t="s">
        <v>210</v>
      </c>
      <c r="B60" s="36" t="s">
        <v>36</v>
      </c>
      <c r="C60" s="36" t="s">
        <v>80</v>
      </c>
      <c r="D60" s="37" t="s">
        <v>82</v>
      </c>
      <c r="E60" s="38" t="s">
        <v>211</v>
      </c>
      <c r="F60" s="36" t="s">
        <v>100</v>
      </c>
      <c r="G60" s="39">
        <f t="shared" ref="G60:G63" si="7">1/5</f>
        <v>0.2</v>
      </c>
      <c r="H60" s="36" t="s">
        <v>40</v>
      </c>
    </row>
    <row r="61" spans="1:8" ht="24" customHeight="1" x14ac:dyDescent="0.3">
      <c r="A61" s="35" t="s">
        <v>212</v>
      </c>
      <c r="B61" s="36" t="s">
        <v>36</v>
      </c>
      <c r="C61" s="36" t="s">
        <v>80</v>
      </c>
      <c r="D61" s="37" t="s">
        <v>82</v>
      </c>
      <c r="E61" s="38" t="s">
        <v>213</v>
      </c>
      <c r="F61" s="36" t="s">
        <v>100</v>
      </c>
      <c r="G61" s="39">
        <f t="shared" si="7"/>
        <v>0.2</v>
      </c>
      <c r="H61" s="36" t="s">
        <v>40</v>
      </c>
    </row>
    <row r="62" spans="1:8" ht="24" customHeight="1" x14ac:dyDescent="0.3">
      <c r="A62" s="35" t="s">
        <v>214</v>
      </c>
      <c r="B62" s="36" t="s">
        <v>36</v>
      </c>
      <c r="C62" s="36" t="s">
        <v>80</v>
      </c>
      <c r="D62" s="37" t="s">
        <v>82</v>
      </c>
      <c r="E62" s="38" t="s">
        <v>215</v>
      </c>
      <c r="F62" s="36" t="s">
        <v>100</v>
      </c>
      <c r="G62" s="39">
        <f t="shared" si="7"/>
        <v>0.2</v>
      </c>
      <c r="H62" s="36" t="s">
        <v>40</v>
      </c>
    </row>
    <row r="63" spans="1:8" ht="24" customHeight="1" x14ac:dyDescent="0.3">
      <c r="A63" s="35" t="s">
        <v>216</v>
      </c>
      <c r="B63" s="36" t="s">
        <v>36</v>
      </c>
      <c r="C63" s="36" t="s">
        <v>80</v>
      </c>
      <c r="D63" s="37" t="s">
        <v>82</v>
      </c>
      <c r="E63" s="38" t="s">
        <v>217</v>
      </c>
      <c r="F63" s="36" t="s">
        <v>100</v>
      </c>
      <c r="G63" s="39">
        <f t="shared" si="7"/>
        <v>0.2</v>
      </c>
      <c r="H63" s="36" t="s">
        <v>40</v>
      </c>
    </row>
    <row r="64" spans="1:8" ht="24" customHeight="1" x14ac:dyDescent="0.3">
      <c r="A64" s="35" t="s">
        <v>218</v>
      </c>
      <c r="B64" s="36" t="s">
        <v>36</v>
      </c>
      <c r="C64" s="36" t="s">
        <v>80</v>
      </c>
      <c r="D64" s="37" t="s">
        <v>84</v>
      </c>
      <c r="E64" s="38" t="s">
        <v>219</v>
      </c>
      <c r="F64" s="36" t="s">
        <v>100</v>
      </c>
      <c r="G64" s="39">
        <f>1/7</f>
        <v>0.14285714285714285</v>
      </c>
      <c r="H64" s="36" t="s">
        <v>40</v>
      </c>
    </row>
    <row r="65" spans="1:8" ht="24" customHeight="1" x14ac:dyDescent="0.3">
      <c r="A65" s="35" t="s">
        <v>220</v>
      </c>
      <c r="B65" s="36" t="s">
        <v>36</v>
      </c>
      <c r="C65" s="36" t="s">
        <v>80</v>
      </c>
      <c r="D65" s="37" t="s">
        <v>84</v>
      </c>
      <c r="E65" s="38" t="s">
        <v>221</v>
      </c>
      <c r="F65" s="36" t="s">
        <v>100</v>
      </c>
      <c r="G65" s="39">
        <f t="shared" ref="G65:G70" si="8">1/7</f>
        <v>0.14285714285714285</v>
      </c>
      <c r="H65" s="36" t="s">
        <v>40</v>
      </c>
    </row>
    <row r="66" spans="1:8" ht="24" customHeight="1" x14ac:dyDescent="0.3">
      <c r="A66" s="35" t="s">
        <v>222</v>
      </c>
      <c r="B66" s="36" t="s">
        <v>36</v>
      </c>
      <c r="C66" s="36" t="s">
        <v>80</v>
      </c>
      <c r="D66" s="37" t="s">
        <v>84</v>
      </c>
      <c r="E66" s="38" t="s">
        <v>223</v>
      </c>
      <c r="F66" s="36" t="s">
        <v>100</v>
      </c>
      <c r="G66" s="39">
        <f t="shared" si="8"/>
        <v>0.14285714285714285</v>
      </c>
      <c r="H66" s="36" t="s">
        <v>40</v>
      </c>
    </row>
    <row r="67" spans="1:8" ht="24" customHeight="1" x14ac:dyDescent="0.3">
      <c r="A67" s="35" t="s">
        <v>224</v>
      </c>
      <c r="B67" s="36" t="s">
        <v>36</v>
      </c>
      <c r="C67" s="36" t="s">
        <v>80</v>
      </c>
      <c r="D67" s="37" t="s">
        <v>84</v>
      </c>
      <c r="E67" s="38" t="s">
        <v>225</v>
      </c>
      <c r="F67" s="36" t="s">
        <v>100</v>
      </c>
      <c r="G67" s="39">
        <f t="shared" si="8"/>
        <v>0.14285714285714285</v>
      </c>
      <c r="H67" s="36" t="s">
        <v>40</v>
      </c>
    </row>
    <row r="68" spans="1:8" ht="24" customHeight="1" x14ac:dyDescent="0.3">
      <c r="A68" s="35" t="s">
        <v>226</v>
      </c>
      <c r="B68" s="36" t="s">
        <v>36</v>
      </c>
      <c r="C68" s="36" t="s">
        <v>80</v>
      </c>
      <c r="D68" s="37" t="s">
        <v>84</v>
      </c>
      <c r="E68" s="38" t="s">
        <v>227</v>
      </c>
      <c r="F68" s="36" t="s">
        <v>100</v>
      </c>
      <c r="G68" s="39">
        <f t="shared" si="8"/>
        <v>0.14285714285714285</v>
      </c>
      <c r="H68" s="36" t="s">
        <v>40</v>
      </c>
    </row>
    <row r="69" spans="1:8" ht="24" customHeight="1" x14ac:dyDescent="0.3">
      <c r="A69" s="35" t="s">
        <v>228</v>
      </c>
      <c r="B69" s="36" t="s">
        <v>36</v>
      </c>
      <c r="C69" s="36" t="s">
        <v>80</v>
      </c>
      <c r="D69" s="37" t="s">
        <v>84</v>
      </c>
      <c r="E69" s="38" t="s">
        <v>229</v>
      </c>
      <c r="F69" s="36" t="s">
        <v>100</v>
      </c>
      <c r="G69" s="39">
        <f t="shared" si="8"/>
        <v>0.14285714285714285</v>
      </c>
      <c r="H69" s="36" t="s">
        <v>40</v>
      </c>
    </row>
    <row r="70" spans="1:8" ht="24" customHeight="1" x14ac:dyDescent="0.3">
      <c r="A70" s="35" t="s">
        <v>230</v>
      </c>
      <c r="B70" s="36" t="s">
        <v>36</v>
      </c>
      <c r="C70" s="36" t="s">
        <v>80</v>
      </c>
      <c r="D70" s="37" t="s">
        <v>84</v>
      </c>
      <c r="E70" s="38" t="s">
        <v>231</v>
      </c>
      <c r="F70" s="36" t="s">
        <v>100</v>
      </c>
      <c r="G70" s="39">
        <f t="shared" si="8"/>
        <v>0.14285714285714285</v>
      </c>
      <c r="H70" s="36" t="s">
        <v>40</v>
      </c>
    </row>
    <row r="71" spans="1:8" ht="24" customHeight="1" x14ac:dyDescent="0.3">
      <c r="A71" s="35" t="s">
        <v>232</v>
      </c>
      <c r="B71" s="36" t="s">
        <v>36</v>
      </c>
      <c r="C71" s="36" t="s">
        <v>80</v>
      </c>
      <c r="D71" s="37" t="s">
        <v>86</v>
      </c>
      <c r="E71" s="38" t="s">
        <v>233</v>
      </c>
      <c r="F71" s="36" t="s">
        <v>100</v>
      </c>
      <c r="G71" s="39">
        <f>1/7</f>
        <v>0.14285714285714285</v>
      </c>
      <c r="H71" s="36" t="s">
        <v>40</v>
      </c>
    </row>
    <row r="72" spans="1:8" ht="24" customHeight="1" x14ac:dyDescent="0.3">
      <c r="A72" s="35" t="s">
        <v>234</v>
      </c>
      <c r="B72" s="36" t="s">
        <v>36</v>
      </c>
      <c r="C72" s="36" t="s">
        <v>80</v>
      </c>
      <c r="D72" s="37" t="s">
        <v>86</v>
      </c>
      <c r="E72" s="38" t="s">
        <v>235</v>
      </c>
      <c r="F72" s="36" t="s">
        <v>100</v>
      </c>
      <c r="G72" s="39">
        <f t="shared" ref="G72:G77" si="9">1/7</f>
        <v>0.14285714285714285</v>
      </c>
      <c r="H72" s="36" t="s">
        <v>40</v>
      </c>
    </row>
    <row r="73" spans="1:8" ht="24" customHeight="1" x14ac:dyDescent="0.3">
      <c r="A73" s="35" t="s">
        <v>236</v>
      </c>
      <c r="B73" s="36" t="s">
        <v>36</v>
      </c>
      <c r="C73" s="36" t="s">
        <v>80</v>
      </c>
      <c r="D73" s="37" t="s">
        <v>86</v>
      </c>
      <c r="E73" s="38" t="s">
        <v>237</v>
      </c>
      <c r="F73" s="36" t="s">
        <v>100</v>
      </c>
      <c r="G73" s="39">
        <f t="shared" si="9"/>
        <v>0.14285714285714285</v>
      </c>
      <c r="H73" s="36" t="s">
        <v>40</v>
      </c>
    </row>
    <row r="74" spans="1:8" ht="24" customHeight="1" x14ac:dyDescent="0.3">
      <c r="A74" s="35" t="s">
        <v>238</v>
      </c>
      <c r="B74" s="36" t="s">
        <v>36</v>
      </c>
      <c r="C74" s="36" t="s">
        <v>80</v>
      </c>
      <c r="D74" s="37" t="s">
        <v>86</v>
      </c>
      <c r="E74" s="38" t="s">
        <v>239</v>
      </c>
      <c r="F74" s="36" t="s">
        <v>100</v>
      </c>
      <c r="G74" s="39">
        <f t="shared" si="9"/>
        <v>0.14285714285714285</v>
      </c>
      <c r="H74" s="36" t="s">
        <v>40</v>
      </c>
    </row>
    <row r="75" spans="1:8" ht="24" customHeight="1" x14ac:dyDescent="0.3">
      <c r="A75" s="35" t="s">
        <v>240</v>
      </c>
      <c r="B75" s="36" t="s">
        <v>36</v>
      </c>
      <c r="C75" s="36" t="s">
        <v>80</v>
      </c>
      <c r="D75" s="37" t="s">
        <v>86</v>
      </c>
      <c r="E75" s="38" t="s">
        <v>241</v>
      </c>
      <c r="F75" s="36" t="s">
        <v>100</v>
      </c>
      <c r="G75" s="39">
        <f t="shared" si="9"/>
        <v>0.14285714285714285</v>
      </c>
      <c r="H75" s="36" t="s">
        <v>40</v>
      </c>
    </row>
    <row r="76" spans="1:8" ht="24" customHeight="1" x14ac:dyDescent="0.3">
      <c r="A76" s="35" t="s">
        <v>242</v>
      </c>
      <c r="B76" s="36" t="s">
        <v>36</v>
      </c>
      <c r="C76" s="36" t="s">
        <v>80</v>
      </c>
      <c r="D76" s="37" t="s">
        <v>86</v>
      </c>
      <c r="E76" s="38" t="s">
        <v>243</v>
      </c>
      <c r="F76" s="36" t="s">
        <v>100</v>
      </c>
      <c r="G76" s="39">
        <f t="shared" si="9"/>
        <v>0.14285714285714285</v>
      </c>
      <c r="H76" s="36" t="s">
        <v>40</v>
      </c>
    </row>
    <row r="77" spans="1:8" ht="24" customHeight="1" x14ac:dyDescent="0.3">
      <c r="A77" s="35" t="s">
        <v>244</v>
      </c>
      <c r="B77" s="36" t="s">
        <v>36</v>
      </c>
      <c r="C77" s="36" t="s">
        <v>80</v>
      </c>
      <c r="D77" s="37" t="s">
        <v>86</v>
      </c>
      <c r="E77" s="38" t="s">
        <v>245</v>
      </c>
      <c r="F77" s="36" t="s">
        <v>100</v>
      </c>
      <c r="G77" s="39">
        <f t="shared" si="9"/>
        <v>0.14285714285714285</v>
      </c>
      <c r="H77" s="36" t="s">
        <v>40</v>
      </c>
    </row>
    <row r="78" spans="1:8" ht="24" customHeight="1" x14ac:dyDescent="0.3">
      <c r="A78" s="35" t="s">
        <v>246</v>
      </c>
      <c r="B78" s="36" t="s">
        <v>36</v>
      </c>
      <c r="C78" s="36" t="s">
        <v>80</v>
      </c>
      <c r="D78" s="37" t="s">
        <v>88</v>
      </c>
      <c r="E78" s="38" t="s">
        <v>247</v>
      </c>
      <c r="F78" s="36" t="s">
        <v>100</v>
      </c>
      <c r="G78" s="39">
        <f>1/2</f>
        <v>0.5</v>
      </c>
      <c r="H78" s="36" t="s">
        <v>40</v>
      </c>
    </row>
    <row r="79" spans="1:8" ht="24" customHeight="1" x14ac:dyDescent="0.3">
      <c r="A79" s="35" t="s">
        <v>248</v>
      </c>
      <c r="B79" s="36" t="s">
        <v>36</v>
      </c>
      <c r="C79" s="36" t="s">
        <v>80</v>
      </c>
      <c r="D79" s="37" t="s">
        <v>88</v>
      </c>
      <c r="E79" s="38" t="s">
        <v>249</v>
      </c>
      <c r="F79" s="36" t="s">
        <v>100</v>
      </c>
      <c r="G79" s="39">
        <f>1/2</f>
        <v>0.5</v>
      </c>
      <c r="H79" s="36" t="s">
        <v>40</v>
      </c>
    </row>
    <row r="80" spans="1:8" ht="24" customHeight="1" x14ac:dyDescent="0.3">
      <c r="A80" s="35" t="s">
        <v>250</v>
      </c>
      <c r="B80" s="36" t="s">
        <v>36</v>
      </c>
      <c r="C80" s="36" t="s">
        <v>80</v>
      </c>
      <c r="D80" s="37" t="s">
        <v>90</v>
      </c>
      <c r="E80" s="38" t="s">
        <v>251</v>
      </c>
      <c r="F80" s="36" t="s">
        <v>100</v>
      </c>
      <c r="G80" s="39">
        <f>1/2</f>
        <v>0.5</v>
      </c>
      <c r="H80" s="36" t="s">
        <v>40</v>
      </c>
    </row>
    <row r="81" spans="1:8" ht="24" customHeight="1" x14ac:dyDescent="0.3">
      <c r="A81" s="35" t="s">
        <v>252</v>
      </c>
      <c r="B81" s="36" t="s">
        <v>36</v>
      </c>
      <c r="C81" s="36" t="s">
        <v>80</v>
      </c>
      <c r="D81" s="37" t="s">
        <v>90</v>
      </c>
      <c r="E81" s="38" t="s">
        <v>253</v>
      </c>
      <c r="F81" s="36" t="s">
        <v>100</v>
      </c>
      <c r="G81" s="39">
        <f>1/2</f>
        <v>0.5</v>
      </c>
      <c r="H81" s="36" t="s">
        <v>40</v>
      </c>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71"/>
  <sheetViews>
    <sheetView showGridLines="0" zoomScaleNormal="100" workbookViewId="0">
      <selection sqref="A1:I1"/>
    </sheetView>
  </sheetViews>
  <sheetFormatPr baseColWidth="10" defaultColWidth="8.6640625" defaultRowHeight="14.4" x14ac:dyDescent="0.3"/>
  <cols>
    <col min="1" max="1" width="12" customWidth="1"/>
    <col min="2" max="2" width="13" customWidth="1"/>
    <col min="3" max="3" width="12" customWidth="1"/>
    <col min="4" max="4" width="16" customWidth="1"/>
    <col min="5" max="5" width="20" customWidth="1"/>
    <col min="6" max="6" width="72" customWidth="1"/>
    <col min="7" max="7" width="16" customWidth="1"/>
    <col min="8" max="8" width="18" customWidth="1"/>
    <col min="9" max="9" width="14" customWidth="1"/>
  </cols>
  <sheetData>
    <row r="1" spans="1:9" ht="36" customHeight="1" x14ac:dyDescent="0.3">
      <c r="A1" s="76" t="s">
        <v>254</v>
      </c>
      <c r="B1" s="76"/>
      <c r="C1" s="76"/>
      <c r="D1" s="76"/>
      <c r="E1" s="76"/>
      <c r="F1" s="76"/>
      <c r="G1" s="76"/>
      <c r="H1" s="76"/>
      <c r="I1" s="76"/>
    </row>
    <row r="2" spans="1:9" ht="19.5" customHeight="1" x14ac:dyDescent="0.3">
      <c r="A2" s="79" t="s">
        <v>255</v>
      </c>
      <c r="B2" s="79"/>
      <c r="C2" s="79"/>
      <c r="D2" s="79"/>
      <c r="E2" s="79"/>
      <c r="F2" s="79"/>
      <c r="G2" s="79"/>
      <c r="H2" s="79"/>
    </row>
    <row r="3" spans="1:9" ht="30" customHeight="1" x14ac:dyDescent="0.3">
      <c r="A3" s="40" t="s">
        <v>256</v>
      </c>
      <c r="B3" s="40" t="s">
        <v>93</v>
      </c>
      <c r="C3" s="40" t="s">
        <v>257</v>
      </c>
      <c r="D3" s="40" t="s">
        <v>258</v>
      </c>
      <c r="E3" s="40" t="s">
        <v>259</v>
      </c>
      <c r="F3" s="40" t="s">
        <v>260</v>
      </c>
      <c r="G3" s="40" t="s">
        <v>261</v>
      </c>
      <c r="H3" s="40" t="s">
        <v>262</v>
      </c>
      <c r="I3" s="40" t="s">
        <v>263</v>
      </c>
    </row>
    <row r="4" spans="1:9" ht="36" customHeight="1" x14ac:dyDescent="0.3">
      <c r="A4" s="41" t="s">
        <v>264</v>
      </c>
      <c r="B4" s="41" t="s">
        <v>98</v>
      </c>
      <c r="C4" s="42">
        <v>0</v>
      </c>
      <c r="D4" s="42">
        <v>0</v>
      </c>
      <c r="E4" s="41" t="s">
        <v>265</v>
      </c>
      <c r="F4" s="43" t="s">
        <v>266</v>
      </c>
      <c r="G4" s="42" t="s">
        <v>267</v>
      </c>
      <c r="H4" s="41" t="s">
        <v>268</v>
      </c>
      <c r="I4" s="44"/>
    </row>
    <row r="5" spans="1:9" ht="36" customHeight="1" x14ac:dyDescent="0.3">
      <c r="A5" s="41" t="s">
        <v>269</v>
      </c>
      <c r="B5" s="41" t="s">
        <v>98</v>
      </c>
      <c r="C5" s="45">
        <v>1</v>
      </c>
      <c r="D5" s="45">
        <v>20</v>
      </c>
      <c r="E5" s="41" t="s">
        <v>270</v>
      </c>
      <c r="F5" s="43" t="s">
        <v>271</v>
      </c>
      <c r="G5" s="42" t="s">
        <v>267</v>
      </c>
      <c r="H5" s="41" t="s">
        <v>272</v>
      </c>
      <c r="I5" s="44"/>
    </row>
    <row r="6" spans="1:9" ht="36" customHeight="1" x14ac:dyDescent="0.3">
      <c r="A6" s="46" t="s">
        <v>273</v>
      </c>
      <c r="B6" s="46" t="s">
        <v>98</v>
      </c>
      <c r="C6" s="47">
        <v>2</v>
      </c>
      <c r="D6" s="47">
        <v>40</v>
      </c>
      <c r="E6" s="46" t="s">
        <v>274</v>
      </c>
      <c r="F6" s="48" t="s">
        <v>275</v>
      </c>
      <c r="G6" s="49" t="s">
        <v>267</v>
      </c>
      <c r="H6" s="46" t="s">
        <v>272</v>
      </c>
      <c r="I6" s="50"/>
    </row>
    <row r="7" spans="1:9" ht="36" customHeight="1" x14ac:dyDescent="0.3">
      <c r="A7" s="51" t="s">
        <v>276</v>
      </c>
      <c r="B7" s="51" t="s">
        <v>98</v>
      </c>
      <c r="C7" s="52">
        <v>3</v>
      </c>
      <c r="D7" s="52">
        <v>60</v>
      </c>
      <c r="E7" s="51" t="s">
        <v>277</v>
      </c>
      <c r="F7" s="53" t="s">
        <v>278</v>
      </c>
      <c r="G7" s="54" t="s">
        <v>279</v>
      </c>
      <c r="H7" s="51" t="s">
        <v>280</v>
      </c>
      <c r="I7" s="55"/>
    </row>
    <row r="8" spans="1:9" ht="36" customHeight="1" x14ac:dyDescent="0.3">
      <c r="A8" s="56" t="s">
        <v>281</v>
      </c>
      <c r="B8" s="56" t="s">
        <v>98</v>
      </c>
      <c r="C8" s="57">
        <v>4</v>
      </c>
      <c r="D8" s="57">
        <v>80</v>
      </c>
      <c r="E8" s="56" t="s">
        <v>282</v>
      </c>
      <c r="F8" s="58" t="s">
        <v>283</v>
      </c>
      <c r="G8" s="59" t="s">
        <v>279</v>
      </c>
      <c r="H8" s="56" t="s">
        <v>284</v>
      </c>
      <c r="I8" s="60"/>
    </row>
    <row r="9" spans="1:9" ht="36" customHeight="1" x14ac:dyDescent="0.3">
      <c r="A9" s="61" t="s">
        <v>285</v>
      </c>
      <c r="B9" s="61" t="s">
        <v>98</v>
      </c>
      <c r="C9" s="62">
        <v>5</v>
      </c>
      <c r="D9" s="62">
        <v>100</v>
      </c>
      <c r="E9" s="61" t="s">
        <v>286</v>
      </c>
      <c r="F9" s="63" t="s">
        <v>287</v>
      </c>
      <c r="G9" s="64" t="s">
        <v>288</v>
      </c>
      <c r="H9" s="61" t="s">
        <v>289</v>
      </c>
      <c r="I9" s="65"/>
    </row>
    <row r="10" spans="1:9" ht="36" customHeight="1" x14ac:dyDescent="0.3">
      <c r="A10" s="41" t="s">
        <v>290</v>
      </c>
      <c r="B10" s="41" t="s">
        <v>101</v>
      </c>
      <c r="C10" s="42">
        <v>0</v>
      </c>
      <c r="D10" s="42">
        <v>0</v>
      </c>
      <c r="E10" s="41" t="s">
        <v>265</v>
      </c>
      <c r="F10" s="43" t="s">
        <v>266</v>
      </c>
      <c r="G10" s="42" t="s">
        <v>267</v>
      </c>
      <c r="H10" s="41" t="s">
        <v>268</v>
      </c>
      <c r="I10" s="44"/>
    </row>
    <row r="11" spans="1:9" ht="36" customHeight="1" x14ac:dyDescent="0.3">
      <c r="A11" s="41" t="s">
        <v>291</v>
      </c>
      <c r="B11" s="41" t="s">
        <v>101</v>
      </c>
      <c r="C11" s="45">
        <v>1</v>
      </c>
      <c r="D11" s="45">
        <v>20</v>
      </c>
      <c r="E11" s="41" t="s">
        <v>270</v>
      </c>
      <c r="F11" s="43" t="s">
        <v>271</v>
      </c>
      <c r="G11" s="42" t="s">
        <v>267</v>
      </c>
      <c r="H11" s="41" t="s">
        <v>272</v>
      </c>
      <c r="I11" s="44"/>
    </row>
    <row r="12" spans="1:9" ht="36" customHeight="1" x14ac:dyDescent="0.3">
      <c r="A12" s="46" t="s">
        <v>292</v>
      </c>
      <c r="B12" s="46" t="s">
        <v>101</v>
      </c>
      <c r="C12" s="47">
        <v>2</v>
      </c>
      <c r="D12" s="47">
        <v>40</v>
      </c>
      <c r="E12" s="46" t="s">
        <v>274</v>
      </c>
      <c r="F12" s="48" t="s">
        <v>275</v>
      </c>
      <c r="G12" s="49" t="s">
        <v>267</v>
      </c>
      <c r="H12" s="46" t="s">
        <v>272</v>
      </c>
      <c r="I12" s="50"/>
    </row>
    <row r="13" spans="1:9" ht="36" customHeight="1" x14ac:dyDescent="0.3">
      <c r="A13" s="51" t="s">
        <v>293</v>
      </c>
      <c r="B13" s="51" t="s">
        <v>101</v>
      </c>
      <c r="C13" s="52">
        <v>3</v>
      </c>
      <c r="D13" s="52">
        <v>60</v>
      </c>
      <c r="E13" s="51" t="s">
        <v>277</v>
      </c>
      <c r="F13" s="53" t="s">
        <v>278</v>
      </c>
      <c r="G13" s="54" t="s">
        <v>279</v>
      </c>
      <c r="H13" s="51" t="s">
        <v>280</v>
      </c>
      <c r="I13" s="55"/>
    </row>
    <row r="14" spans="1:9" ht="36" customHeight="1" x14ac:dyDescent="0.3">
      <c r="A14" s="56" t="s">
        <v>294</v>
      </c>
      <c r="B14" s="56" t="s">
        <v>101</v>
      </c>
      <c r="C14" s="57">
        <v>4</v>
      </c>
      <c r="D14" s="57">
        <v>80</v>
      </c>
      <c r="E14" s="56" t="s">
        <v>282</v>
      </c>
      <c r="F14" s="58" t="s">
        <v>283</v>
      </c>
      <c r="G14" s="59" t="s">
        <v>279</v>
      </c>
      <c r="H14" s="56" t="s">
        <v>284</v>
      </c>
      <c r="I14" s="60"/>
    </row>
    <row r="15" spans="1:9" ht="36" customHeight="1" x14ac:dyDescent="0.3">
      <c r="A15" s="61" t="s">
        <v>295</v>
      </c>
      <c r="B15" s="61" t="s">
        <v>101</v>
      </c>
      <c r="C15" s="62">
        <v>5</v>
      </c>
      <c r="D15" s="62">
        <v>100</v>
      </c>
      <c r="E15" s="61" t="s">
        <v>286</v>
      </c>
      <c r="F15" s="63" t="s">
        <v>287</v>
      </c>
      <c r="G15" s="64" t="s">
        <v>288</v>
      </c>
      <c r="H15" s="61" t="s">
        <v>289</v>
      </c>
      <c r="I15" s="65"/>
    </row>
    <row r="16" spans="1:9" ht="36" customHeight="1" x14ac:dyDescent="0.3">
      <c r="A16" s="41" t="s">
        <v>296</v>
      </c>
      <c r="B16" s="41" t="s">
        <v>103</v>
      </c>
      <c r="C16" s="42">
        <v>0</v>
      </c>
      <c r="D16" s="42">
        <v>0</v>
      </c>
      <c r="E16" s="41" t="s">
        <v>265</v>
      </c>
      <c r="F16" s="43" t="s">
        <v>266</v>
      </c>
      <c r="G16" s="42" t="s">
        <v>267</v>
      </c>
      <c r="H16" s="41" t="s">
        <v>268</v>
      </c>
      <c r="I16" s="44"/>
    </row>
    <row r="17" spans="1:9" ht="36" customHeight="1" x14ac:dyDescent="0.3">
      <c r="A17" s="41" t="s">
        <v>297</v>
      </c>
      <c r="B17" s="41" t="s">
        <v>103</v>
      </c>
      <c r="C17" s="45">
        <v>1</v>
      </c>
      <c r="D17" s="45">
        <v>20</v>
      </c>
      <c r="E17" s="41" t="s">
        <v>270</v>
      </c>
      <c r="F17" s="43" t="s">
        <v>271</v>
      </c>
      <c r="G17" s="42" t="s">
        <v>267</v>
      </c>
      <c r="H17" s="41" t="s">
        <v>272</v>
      </c>
      <c r="I17" s="44"/>
    </row>
    <row r="18" spans="1:9" ht="36" customHeight="1" x14ac:dyDescent="0.3">
      <c r="A18" s="46" t="s">
        <v>298</v>
      </c>
      <c r="B18" s="46" t="s">
        <v>103</v>
      </c>
      <c r="C18" s="47">
        <v>2</v>
      </c>
      <c r="D18" s="47">
        <v>40</v>
      </c>
      <c r="E18" s="46" t="s">
        <v>274</v>
      </c>
      <c r="F18" s="48" t="s">
        <v>275</v>
      </c>
      <c r="G18" s="49" t="s">
        <v>267</v>
      </c>
      <c r="H18" s="46" t="s">
        <v>272</v>
      </c>
      <c r="I18" s="50"/>
    </row>
    <row r="19" spans="1:9" ht="36" customHeight="1" x14ac:dyDescent="0.3">
      <c r="A19" s="51" t="s">
        <v>299</v>
      </c>
      <c r="B19" s="51" t="s">
        <v>103</v>
      </c>
      <c r="C19" s="52">
        <v>3</v>
      </c>
      <c r="D19" s="52">
        <v>60</v>
      </c>
      <c r="E19" s="51" t="s">
        <v>277</v>
      </c>
      <c r="F19" s="53" t="s">
        <v>278</v>
      </c>
      <c r="G19" s="54" t="s">
        <v>279</v>
      </c>
      <c r="H19" s="51" t="s">
        <v>280</v>
      </c>
      <c r="I19" s="55"/>
    </row>
    <row r="20" spans="1:9" ht="36" customHeight="1" x14ac:dyDescent="0.3">
      <c r="A20" s="56" t="s">
        <v>300</v>
      </c>
      <c r="B20" s="56" t="s">
        <v>103</v>
      </c>
      <c r="C20" s="57">
        <v>4</v>
      </c>
      <c r="D20" s="57">
        <v>80</v>
      </c>
      <c r="E20" s="56" t="s">
        <v>282</v>
      </c>
      <c r="F20" s="58" t="s">
        <v>283</v>
      </c>
      <c r="G20" s="59" t="s">
        <v>279</v>
      </c>
      <c r="H20" s="56" t="s">
        <v>284</v>
      </c>
      <c r="I20" s="60"/>
    </row>
    <row r="21" spans="1:9" ht="36" customHeight="1" x14ac:dyDescent="0.3">
      <c r="A21" s="61" t="s">
        <v>301</v>
      </c>
      <c r="B21" s="61" t="s">
        <v>103</v>
      </c>
      <c r="C21" s="62">
        <v>5</v>
      </c>
      <c r="D21" s="62">
        <v>100</v>
      </c>
      <c r="E21" s="61" t="s">
        <v>286</v>
      </c>
      <c r="F21" s="63" t="s">
        <v>287</v>
      </c>
      <c r="G21" s="64" t="s">
        <v>288</v>
      </c>
      <c r="H21" s="61" t="s">
        <v>289</v>
      </c>
      <c r="I21" s="65"/>
    </row>
    <row r="22" spans="1:9" ht="36" customHeight="1" x14ac:dyDescent="0.3">
      <c r="A22" s="41" t="s">
        <v>302</v>
      </c>
      <c r="B22" s="41" t="s">
        <v>105</v>
      </c>
      <c r="C22" s="42">
        <v>0</v>
      </c>
      <c r="D22" s="42">
        <v>0</v>
      </c>
      <c r="E22" s="41" t="s">
        <v>265</v>
      </c>
      <c r="F22" s="43" t="s">
        <v>266</v>
      </c>
      <c r="G22" s="42" t="s">
        <v>267</v>
      </c>
      <c r="H22" s="41" t="s">
        <v>268</v>
      </c>
      <c r="I22" s="44"/>
    </row>
    <row r="23" spans="1:9" ht="36" customHeight="1" x14ac:dyDescent="0.3">
      <c r="A23" s="41" t="s">
        <v>303</v>
      </c>
      <c r="B23" s="41" t="s">
        <v>105</v>
      </c>
      <c r="C23" s="45">
        <v>1</v>
      </c>
      <c r="D23" s="45">
        <v>20</v>
      </c>
      <c r="E23" s="41" t="s">
        <v>270</v>
      </c>
      <c r="F23" s="43" t="s">
        <v>271</v>
      </c>
      <c r="G23" s="42" t="s">
        <v>267</v>
      </c>
      <c r="H23" s="41" t="s">
        <v>272</v>
      </c>
      <c r="I23" s="44"/>
    </row>
    <row r="24" spans="1:9" ht="36" customHeight="1" x14ac:dyDescent="0.3">
      <c r="A24" s="46" t="s">
        <v>304</v>
      </c>
      <c r="B24" s="46" t="s">
        <v>105</v>
      </c>
      <c r="C24" s="47">
        <v>2</v>
      </c>
      <c r="D24" s="47">
        <v>40</v>
      </c>
      <c r="E24" s="46" t="s">
        <v>274</v>
      </c>
      <c r="F24" s="48" t="s">
        <v>275</v>
      </c>
      <c r="G24" s="49" t="s">
        <v>267</v>
      </c>
      <c r="H24" s="46" t="s">
        <v>272</v>
      </c>
      <c r="I24" s="50"/>
    </row>
    <row r="25" spans="1:9" ht="36" customHeight="1" x14ac:dyDescent="0.3">
      <c r="A25" s="51" t="s">
        <v>305</v>
      </c>
      <c r="B25" s="51" t="s">
        <v>105</v>
      </c>
      <c r="C25" s="52">
        <v>3</v>
      </c>
      <c r="D25" s="52">
        <v>60</v>
      </c>
      <c r="E25" s="51" t="s">
        <v>277</v>
      </c>
      <c r="F25" s="53" t="s">
        <v>278</v>
      </c>
      <c r="G25" s="54" t="s">
        <v>279</v>
      </c>
      <c r="H25" s="51" t="s">
        <v>280</v>
      </c>
      <c r="I25" s="55"/>
    </row>
    <row r="26" spans="1:9" ht="36" customHeight="1" x14ac:dyDescent="0.3">
      <c r="A26" s="56" t="s">
        <v>306</v>
      </c>
      <c r="B26" s="56" t="s">
        <v>105</v>
      </c>
      <c r="C26" s="57">
        <v>4</v>
      </c>
      <c r="D26" s="57">
        <v>80</v>
      </c>
      <c r="E26" s="56" t="s">
        <v>282</v>
      </c>
      <c r="F26" s="58" t="s">
        <v>283</v>
      </c>
      <c r="G26" s="59" t="s">
        <v>279</v>
      </c>
      <c r="H26" s="56" t="s">
        <v>284</v>
      </c>
      <c r="I26" s="60"/>
    </row>
    <row r="27" spans="1:9" ht="36" customHeight="1" x14ac:dyDescent="0.3">
      <c r="A27" s="61" t="s">
        <v>307</v>
      </c>
      <c r="B27" s="61" t="s">
        <v>105</v>
      </c>
      <c r="C27" s="62">
        <v>5</v>
      </c>
      <c r="D27" s="62">
        <v>100</v>
      </c>
      <c r="E27" s="61" t="s">
        <v>286</v>
      </c>
      <c r="F27" s="63" t="s">
        <v>287</v>
      </c>
      <c r="G27" s="64" t="s">
        <v>288</v>
      </c>
      <c r="H27" s="61" t="s">
        <v>289</v>
      </c>
      <c r="I27" s="65"/>
    </row>
    <row r="28" spans="1:9" ht="36" customHeight="1" x14ac:dyDescent="0.3">
      <c r="A28" s="41" t="s">
        <v>308</v>
      </c>
      <c r="B28" s="41" t="s">
        <v>107</v>
      </c>
      <c r="C28" s="42">
        <v>0</v>
      </c>
      <c r="D28" s="42">
        <v>0</v>
      </c>
      <c r="E28" s="41" t="s">
        <v>265</v>
      </c>
      <c r="F28" s="43" t="s">
        <v>266</v>
      </c>
      <c r="G28" s="42" t="s">
        <v>267</v>
      </c>
      <c r="H28" s="41" t="s">
        <v>268</v>
      </c>
      <c r="I28" s="44"/>
    </row>
    <row r="29" spans="1:9" ht="36" customHeight="1" x14ac:dyDescent="0.3">
      <c r="A29" s="41" t="s">
        <v>309</v>
      </c>
      <c r="B29" s="41" t="s">
        <v>107</v>
      </c>
      <c r="C29" s="45">
        <v>1</v>
      </c>
      <c r="D29" s="45">
        <v>20</v>
      </c>
      <c r="E29" s="41" t="s">
        <v>270</v>
      </c>
      <c r="F29" s="43" t="s">
        <v>271</v>
      </c>
      <c r="G29" s="42" t="s">
        <v>267</v>
      </c>
      <c r="H29" s="41" t="s">
        <v>272</v>
      </c>
      <c r="I29" s="44"/>
    </row>
    <row r="30" spans="1:9" ht="36" customHeight="1" x14ac:dyDescent="0.3">
      <c r="A30" s="46" t="s">
        <v>310</v>
      </c>
      <c r="B30" s="46" t="s">
        <v>107</v>
      </c>
      <c r="C30" s="47">
        <v>2</v>
      </c>
      <c r="D30" s="47">
        <v>40</v>
      </c>
      <c r="E30" s="46" t="s">
        <v>274</v>
      </c>
      <c r="F30" s="48" t="s">
        <v>275</v>
      </c>
      <c r="G30" s="49" t="s">
        <v>267</v>
      </c>
      <c r="H30" s="46" t="s">
        <v>272</v>
      </c>
      <c r="I30" s="50"/>
    </row>
    <row r="31" spans="1:9" ht="36" customHeight="1" x14ac:dyDescent="0.3">
      <c r="A31" s="51" t="s">
        <v>311</v>
      </c>
      <c r="B31" s="51" t="s">
        <v>107</v>
      </c>
      <c r="C31" s="52">
        <v>3</v>
      </c>
      <c r="D31" s="52">
        <v>60</v>
      </c>
      <c r="E31" s="51" t="s">
        <v>277</v>
      </c>
      <c r="F31" s="53" t="s">
        <v>278</v>
      </c>
      <c r="G31" s="54" t="s">
        <v>279</v>
      </c>
      <c r="H31" s="51" t="s">
        <v>280</v>
      </c>
      <c r="I31" s="55"/>
    </row>
    <row r="32" spans="1:9" ht="36" customHeight="1" x14ac:dyDescent="0.3">
      <c r="A32" s="56" t="s">
        <v>312</v>
      </c>
      <c r="B32" s="56" t="s">
        <v>107</v>
      </c>
      <c r="C32" s="57">
        <v>4</v>
      </c>
      <c r="D32" s="57">
        <v>80</v>
      </c>
      <c r="E32" s="56" t="s">
        <v>282</v>
      </c>
      <c r="F32" s="58" t="s">
        <v>283</v>
      </c>
      <c r="G32" s="59" t="s">
        <v>279</v>
      </c>
      <c r="H32" s="56" t="s">
        <v>284</v>
      </c>
      <c r="I32" s="60"/>
    </row>
    <row r="33" spans="1:9" ht="36" customHeight="1" x14ac:dyDescent="0.3">
      <c r="A33" s="61" t="s">
        <v>313</v>
      </c>
      <c r="B33" s="61" t="s">
        <v>107</v>
      </c>
      <c r="C33" s="62">
        <v>5</v>
      </c>
      <c r="D33" s="62">
        <v>100</v>
      </c>
      <c r="E33" s="61" t="s">
        <v>286</v>
      </c>
      <c r="F33" s="63" t="s">
        <v>287</v>
      </c>
      <c r="G33" s="64" t="s">
        <v>288</v>
      </c>
      <c r="H33" s="61" t="s">
        <v>289</v>
      </c>
      <c r="I33" s="65"/>
    </row>
    <row r="34" spans="1:9" ht="36" customHeight="1" x14ac:dyDescent="0.3">
      <c r="A34" s="41" t="s">
        <v>314</v>
      </c>
      <c r="B34" s="41" t="s">
        <v>109</v>
      </c>
      <c r="C34" s="42">
        <v>0</v>
      </c>
      <c r="D34" s="42">
        <v>0</v>
      </c>
      <c r="E34" s="41" t="s">
        <v>265</v>
      </c>
      <c r="F34" s="43" t="s">
        <v>266</v>
      </c>
      <c r="G34" s="42" t="s">
        <v>267</v>
      </c>
      <c r="H34" s="41" t="s">
        <v>268</v>
      </c>
      <c r="I34" s="44"/>
    </row>
    <row r="35" spans="1:9" ht="36" customHeight="1" x14ac:dyDescent="0.3">
      <c r="A35" s="41" t="s">
        <v>315</v>
      </c>
      <c r="B35" s="41" t="s">
        <v>109</v>
      </c>
      <c r="C35" s="45">
        <v>1</v>
      </c>
      <c r="D35" s="45">
        <v>20</v>
      </c>
      <c r="E35" s="41" t="s">
        <v>270</v>
      </c>
      <c r="F35" s="43" t="s">
        <v>271</v>
      </c>
      <c r="G35" s="42" t="s">
        <v>267</v>
      </c>
      <c r="H35" s="41" t="s">
        <v>272</v>
      </c>
      <c r="I35" s="44"/>
    </row>
    <row r="36" spans="1:9" ht="36" customHeight="1" x14ac:dyDescent="0.3">
      <c r="A36" s="46" t="s">
        <v>316</v>
      </c>
      <c r="B36" s="46" t="s">
        <v>109</v>
      </c>
      <c r="C36" s="47">
        <v>2</v>
      </c>
      <c r="D36" s="47">
        <v>40</v>
      </c>
      <c r="E36" s="46" t="s">
        <v>274</v>
      </c>
      <c r="F36" s="48" t="s">
        <v>275</v>
      </c>
      <c r="G36" s="49" t="s">
        <v>267</v>
      </c>
      <c r="H36" s="46" t="s">
        <v>272</v>
      </c>
      <c r="I36" s="50"/>
    </row>
    <row r="37" spans="1:9" ht="36" customHeight="1" x14ac:dyDescent="0.3">
      <c r="A37" s="51" t="s">
        <v>317</v>
      </c>
      <c r="B37" s="51" t="s">
        <v>109</v>
      </c>
      <c r="C37" s="52">
        <v>3</v>
      </c>
      <c r="D37" s="52">
        <v>60</v>
      </c>
      <c r="E37" s="51" t="s">
        <v>277</v>
      </c>
      <c r="F37" s="53" t="s">
        <v>278</v>
      </c>
      <c r="G37" s="54" t="s">
        <v>279</v>
      </c>
      <c r="H37" s="51" t="s">
        <v>280</v>
      </c>
      <c r="I37" s="55"/>
    </row>
    <row r="38" spans="1:9" ht="36" customHeight="1" x14ac:dyDescent="0.3">
      <c r="A38" s="56" t="s">
        <v>318</v>
      </c>
      <c r="B38" s="56" t="s">
        <v>109</v>
      </c>
      <c r="C38" s="57">
        <v>4</v>
      </c>
      <c r="D38" s="57">
        <v>80</v>
      </c>
      <c r="E38" s="56" t="s">
        <v>282</v>
      </c>
      <c r="F38" s="58" t="s">
        <v>283</v>
      </c>
      <c r="G38" s="59" t="s">
        <v>279</v>
      </c>
      <c r="H38" s="56" t="s">
        <v>284</v>
      </c>
      <c r="I38" s="60"/>
    </row>
    <row r="39" spans="1:9" ht="36" customHeight="1" x14ac:dyDescent="0.3">
      <c r="A39" s="61" t="s">
        <v>319</v>
      </c>
      <c r="B39" s="61" t="s">
        <v>109</v>
      </c>
      <c r="C39" s="62">
        <v>5</v>
      </c>
      <c r="D39" s="62">
        <v>100</v>
      </c>
      <c r="E39" s="61" t="s">
        <v>286</v>
      </c>
      <c r="F39" s="63" t="s">
        <v>287</v>
      </c>
      <c r="G39" s="64" t="s">
        <v>288</v>
      </c>
      <c r="H39" s="61" t="s">
        <v>289</v>
      </c>
      <c r="I39" s="65"/>
    </row>
    <row r="40" spans="1:9" ht="36" customHeight="1" x14ac:dyDescent="0.3">
      <c r="A40" s="41" t="s">
        <v>320</v>
      </c>
      <c r="B40" s="41" t="s">
        <v>111</v>
      </c>
      <c r="C40" s="42">
        <v>0</v>
      </c>
      <c r="D40" s="42">
        <v>0</v>
      </c>
      <c r="E40" s="41" t="s">
        <v>265</v>
      </c>
      <c r="F40" s="43" t="s">
        <v>266</v>
      </c>
      <c r="G40" s="42" t="s">
        <v>267</v>
      </c>
      <c r="H40" s="41" t="s">
        <v>268</v>
      </c>
      <c r="I40" s="44"/>
    </row>
    <row r="41" spans="1:9" ht="36" customHeight="1" x14ac:dyDescent="0.3">
      <c r="A41" s="41" t="s">
        <v>321</v>
      </c>
      <c r="B41" s="41" t="s">
        <v>111</v>
      </c>
      <c r="C41" s="45">
        <v>1</v>
      </c>
      <c r="D41" s="45">
        <v>20</v>
      </c>
      <c r="E41" s="41" t="s">
        <v>270</v>
      </c>
      <c r="F41" s="43" t="s">
        <v>271</v>
      </c>
      <c r="G41" s="42" t="s">
        <v>267</v>
      </c>
      <c r="H41" s="41" t="s">
        <v>272</v>
      </c>
      <c r="I41" s="44"/>
    </row>
    <row r="42" spans="1:9" ht="36" customHeight="1" x14ac:dyDescent="0.3">
      <c r="A42" s="46" t="s">
        <v>322</v>
      </c>
      <c r="B42" s="46" t="s">
        <v>111</v>
      </c>
      <c r="C42" s="47">
        <v>2</v>
      </c>
      <c r="D42" s="47">
        <v>40</v>
      </c>
      <c r="E42" s="46" t="s">
        <v>274</v>
      </c>
      <c r="F42" s="48" t="s">
        <v>275</v>
      </c>
      <c r="G42" s="49" t="s">
        <v>267</v>
      </c>
      <c r="H42" s="46" t="s">
        <v>272</v>
      </c>
      <c r="I42" s="50"/>
    </row>
    <row r="43" spans="1:9" ht="36" customHeight="1" x14ac:dyDescent="0.3">
      <c r="A43" s="51" t="s">
        <v>323</v>
      </c>
      <c r="B43" s="51" t="s">
        <v>111</v>
      </c>
      <c r="C43" s="52">
        <v>3</v>
      </c>
      <c r="D43" s="52">
        <v>60</v>
      </c>
      <c r="E43" s="51" t="s">
        <v>277</v>
      </c>
      <c r="F43" s="53" t="s">
        <v>278</v>
      </c>
      <c r="G43" s="54" t="s">
        <v>279</v>
      </c>
      <c r="H43" s="51" t="s">
        <v>280</v>
      </c>
      <c r="I43" s="55"/>
    </row>
    <row r="44" spans="1:9" ht="36" customHeight="1" x14ac:dyDescent="0.3">
      <c r="A44" s="56" t="s">
        <v>324</v>
      </c>
      <c r="B44" s="56" t="s">
        <v>111</v>
      </c>
      <c r="C44" s="57">
        <v>4</v>
      </c>
      <c r="D44" s="57">
        <v>80</v>
      </c>
      <c r="E44" s="56" t="s">
        <v>282</v>
      </c>
      <c r="F44" s="58" t="s">
        <v>283</v>
      </c>
      <c r="G44" s="59" t="s">
        <v>279</v>
      </c>
      <c r="H44" s="56" t="s">
        <v>284</v>
      </c>
      <c r="I44" s="60"/>
    </row>
    <row r="45" spans="1:9" ht="36" customHeight="1" x14ac:dyDescent="0.3">
      <c r="A45" s="61" t="s">
        <v>325</v>
      </c>
      <c r="B45" s="61" t="s">
        <v>111</v>
      </c>
      <c r="C45" s="62">
        <v>5</v>
      </c>
      <c r="D45" s="62">
        <v>100</v>
      </c>
      <c r="E45" s="61" t="s">
        <v>286</v>
      </c>
      <c r="F45" s="63" t="s">
        <v>287</v>
      </c>
      <c r="G45" s="64" t="s">
        <v>288</v>
      </c>
      <c r="H45" s="61" t="s">
        <v>289</v>
      </c>
      <c r="I45" s="65"/>
    </row>
    <row r="46" spans="1:9" ht="36" customHeight="1" x14ac:dyDescent="0.3">
      <c r="A46" s="41" t="s">
        <v>326</v>
      </c>
      <c r="B46" s="41" t="s">
        <v>113</v>
      </c>
      <c r="C46" s="42">
        <v>0</v>
      </c>
      <c r="D46" s="42">
        <v>0</v>
      </c>
      <c r="E46" s="41" t="s">
        <v>265</v>
      </c>
      <c r="F46" s="43" t="s">
        <v>266</v>
      </c>
      <c r="G46" s="42" t="s">
        <v>267</v>
      </c>
      <c r="H46" s="41" t="s">
        <v>268</v>
      </c>
      <c r="I46" s="44"/>
    </row>
    <row r="47" spans="1:9" ht="36" customHeight="1" x14ac:dyDescent="0.3">
      <c r="A47" s="41" t="s">
        <v>327</v>
      </c>
      <c r="B47" s="41" t="s">
        <v>113</v>
      </c>
      <c r="C47" s="45">
        <v>1</v>
      </c>
      <c r="D47" s="45">
        <v>20</v>
      </c>
      <c r="E47" s="41" t="s">
        <v>270</v>
      </c>
      <c r="F47" s="43" t="s">
        <v>271</v>
      </c>
      <c r="G47" s="42" t="s">
        <v>267</v>
      </c>
      <c r="H47" s="41" t="s">
        <v>272</v>
      </c>
      <c r="I47" s="44"/>
    </row>
    <row r="48" spans="1:9" ht="36" customHeight="1" x14ac:dyDescent="0.3">
      <c r="A48" s="46" t="s">
        <v>328</v>
      </c>
      <c r="B48" s="46" t="s">
        <v>113</v>
      </c>
      <c r="C48" s="47">
        <v>2</v>
      </c>
      <c r="D48" s="47">
        <v>40</v>
      </c>
      <c r="E48" s="46" t="s">
        <v>274</v>
      </c>
      <c r="F48" s="48" t="s">
        <v>275</v>
      </c>
      <c r="G48" s="49" t="s">
        <v>267</v>
      </c>
      <c r="H48" s="46" t="s">
        <v>272</v>
      </c>
      <c r="I48" s="50"/>
    </row>
    <row r="49" spans="1:9" ht="36" customHeight="1" x14ac:dyDescent="0.3">
      <c r="A49" s="51" t="s">
        <v>329</v>
      </c>
      <c r="B49" s="51" t="s">
        <v>113</v>
      </c>
      <c r="C49" s="52">
        <v>3</v>
      </c>
      <c r="D49" s="52">
        <v>60</v>
      </c>
      <c r="E49" s="51" t="s">
        <v>277</v>
      </c>
      <c r="F49" s="53" t="s">
        <v>278</v>
      </c>
      <c r="G49" s="54" t="s">
        <v>279</v>
      </c>
      <c r="H49" s="51" t="s">
        <v>280</v>
      </c>
      <c r="I49" s="55"/>
    </row>
    <row r="50" spans="1:9" ht="36" customHeight="1" x14ac:dyDescent="0.3">
      <c r="A50" s="56" t="s">
        <v>330</v>
      </c>
      <c r="B50" s="56" t="s">
        <v>113</v>
      </c>
      <c r="C50" s="57">
        <v>4</v>
      </c>
      <c r="D50" s="57">
        <v>80</v>
      </c>
      <c r="E50" s="56" t="s">
        <v>282</v>
      </c>
      <c r="F50" s="58" t="s">
        <v>283</v>
      </c>
      <c r="G50" s="59" t="s">
        <v>279</v>
      </c>
      <c r="H50" s="56" t="s">
        <v>284</v>
      </c>
      <c r="I50" s="60"/>
    </row>
    <row r="51" spans="1:9" ht="36" customHeight="1" x14ac:dyDescent="0.3">
      <c r="A51" s="61" t="s">
        <v>331</v>
      </c>
      <c r="B51" s="61" t="s">
        <v>113</v>
      </c>
      <c r="C51" s="62">
        <v>5</v>
      </c>
      <c r="D51" s="62">
        <v>100</v>
      </c>
      <c r="E51" s="61" t="s">
        <v>286</v>
      </c>
      <c r="F51" s="63" t="s">
        <v>287</v>
      </c>
      <c r="G51" s="64" t="s">
        <v>288</v>
      </c>
      <c r="H51" s="61" t="s">
        <v>289</v>
      </c>
      <c r="I51" s="65"/>
    </row>
    <row r="52" spans="1:9" ht="36" customHeight="1" x14ac:dyDescent="0.3">
      <c r="A52" s="41" t="s">
        <v>332</v>
      </c>
      <c r="B52" s="41" t="s">
        <v>115</v>
      </c>
      <c r="C52" s="42">
        <v>0</v>
      </c>
      <c r="D52" s="42">
        <v>0</v>
      </c>
      <c r="E52" s="41" t="s">
        <v>265</v>
      </c>
      <c r="F52" s="43" t="s">
        <v>266</v>
      </c>
      <c r="G52" s="42" t="s">
        <v>267</v>
      </c>
      <c r="H52" s="41" t="s">
        <v>268</v>
      </c>
      <c r="I52" s="44"/>
    </row>
    <row r="53" spans="1:9" ht="36" customHeight="1" x14ac:dyDescent="0.3">
      <c r="A53" s="41" t="s">
        <v>333</v>
      </c>
      <c r="B53" s="41" t="s">
        <v>115</v>
      </c>
      <c r="C53" s="45">
        <v>1</v>
      </c>
      <c r="D53" s="45">
        <v>20</v>
      </c>
      <c r="E53" s="41" t="s">
        <v>270</v>
      </c>
      <c r="F53" s="43" t="s">
        <v>271</v>
      </c>
      <c r="G53" s="42" t="s">
        <v>267</v>
      </c>
      <c r="H53" s="41" t="s">
        <v>272</v>
      </c>
      <c r="I53" s="44"/>
    </row>
    <row r="54" spans="1:9" ht="36" customHeight="1" x14ac:dyDescent="0.3">
      <c r="A54" s="46" t="s">
        <v>334</v>
      </c>
      <c r="B54" s="46" t="s">
        <v>115</v>
      </c>
      <c r="C54" s="47">
        <v>2</v>
      </c>
      <c r="D54" s="47">
        <v>40</v>
      </c>
      <c r="E54" s="46" t="s">
        <v>274</v>
      </c>
      <c r="F54" s="48" t="s">
        <v>275</v>
      </c>
      <c r="G54" s="49" t="s">
        <v>267</v>
      </c>
      <c r="H54" s="46" t="s">
        <v>272</v>
      </c>
      <c r="I54" s="50"/>
    </row>
    <row r="55" spans="1:9" ht="36" customHeight="1" x14ac:dyDescent="0.3">
      <c r="A55" s="51" t="s">
        <v>335</v>
      </c>
      <c r="B55" s="51" t="s">
        <v>115</v>
      </c>
      <c r="C55" s="52">
        <v>3</v>
      </c>
      <c r="D55" s="52">
        <v>60</v>
      </c>
      <c r="E55" s="51" t="s">
        <v>277</v>
      </c>
      <c r="F55" s="53" t="s">
        <v>278</v>
      </c>
      <c r="G55" s="54" t="s">
        <v>279</v>
      </c>
      <c r="H55" s="51" t="s">
        <v>280</v>
      </c>
      <c r="I55" s="55"/>
    </row>
    <row r="56" spans="1:9" ht="36" customHeight="1" x14ac:dyDescent="0.3">
      <c r="A56" s="56" t="s">
        <v>336</v>
      </c>
      <c r="B56" s="56" t="s">
        <v>115</v>
      </c>
      <c r="C56" s="57">
        <v>4</v>
      </c>
      <c r="D56" s="57">
        <v>80</v>
      </c>
      <c r="E56" s="56" t="s">
        <v>282</v>
      </c>
      <c r="F56" s="58" t="s">
        <v>283</v>
      </c>
      <c r="G56" s="59" t="s">
        <v>279</v>
      </c>
      <c r="H56" s="56" t="s">
        <v>284</v>
      </c>
      <c r="I56" s="60"/>
    </row>
    <row r="57" spans="1:9" ht="36" customHeight="1" x14ac:dyDescent="0.3">
      <c r="A57" s="61" t="s">
        <v>337</v>
      </c>
      <c r="B57" s="61" t="s">
        <v>115</v>
      </c>
      <c r="C57" s="62">
        <v>5</v>
      </c>
      <c r="D57" s="62">
        <v>100</v>
      </c>
      <c r="E57" s="61" t="s">
        <v>286</v>
      </c>
      <c r="F57" s="63" t="s">
        <v>287</v>
      </c>
      <c r="G57" s="64" t="s">
        <v>288</v>
      </c>
      <c r="H57" s="61" t="s">
        <v>289</v>
      </c>
      <c r="I57" s="65"/>
    </row>
    <row r="58" spans="1:9" ht="36" customHeight="1" x14ac:dyDescent="0.3">
      <c r="A58" s="41" t="s">
        <v>338</v>
      </c>
      <c r="B58" s="41" t="s">
        <v>117</v>
      </c>
      <c r="C58" s="42">
        <v>0</v>
      </c>
      <c r="D58" s="42">
        <v>0</v>
      </c>
      <c r="E58" s="41" t="s">
        <v>265</v>
      </c>
      <c r="F58" s="43" t="s">
        <v>266</v>
      </c>
      <c r="G58" s="42" t="s">
        <v>267</v>
      </c>
      <c r="H58" s="41" t="s">
        <v>268</v>
      </c>
      <c r="I58" s="44"/>
    </row>
    <row r="59" spans="1:9" ht="36" customHeight="1" x14ac:dyDescent="0.3">
      <c r="A59" s="41" t="s">
        <v>339</v>
      </c>
      <c r="B59" s="41" t="s">
        <v>117</v>
      </c>
      <c r="C59" s="45">
        <v>1</v>
      </c>
      <c r="D59" s="45">
        <v>20</v>
      </c>
      <c r="E59" s="41" t="s">
        <v>270</v>
      </c>
      <c r="F59" s="43" t="s">
        <v>271</v>
      </c>
      <c r="G59" s="42" t="s">
        <v>267</v>
      </c>
      <c r="H59" s="41" t="s">
        <v>272</v>
      </c>
      <c r="I59" s="44"/>
    </row>
    <row r="60" spans="1:9" ht="36" customHeight="1" x14ac:dyDescent="0.3">
      <c r="A60" s="46" t="s">
        <v>340</v>
      </c>
      <c r="B60" s="46" t="s">
        <v>117</v>
      </c>
      <c r="C60" s="47">
        <v>2</v>
      </c>
      <c r="D60" s="47">
        <v>40</v>
      </c>
      <c r="E60" s="46" t="s">
        <v>274</v>
      </c>
      <c r="F60" s="48" t="s">
        <v>275</v>
      </c>
      <c r="G60" s="49" t="s">
        <v>267</v>
      </c>
      <c r="H60" s="46" t="s">
        <v>272</v>
      </c>
      <c r="I60" s="50"/>
    </row>
    <row r="61" spans="1:9" ht="36" customHeight="1" x14ac:dyDescent="0.3">
      <c r="A61" s="51" t="s">
        <v>341</v>
      </c>
      <c r="B61" s="51" t="s">
        <v>117</v>
      </c>
      <c r="C61" s="52">
        <v>3</v>
      </c>
      <c r="D61" s="52">
        <v>60</v>
      </c>
      <c r="E61" s="51" t="s">
        <v>277</v>
      </c>
      <c r="F61" s="53" t="s">
        <v>278</v>
      </c>
      <c r="G61" s="54" t="s">
        <v>279</v>
      </c>
      <c r="H61" s="51" t="s">
        <v>280</v>
      </c>
      <c r="I61" s="55"/>
    </row>
    <row r="62" spans="1:9" ht="36" customHeight="1" x14ac:dyDescent="0.3">
      <c r="A62" s="56" t="s">
        <v>342</v>
      </c>
      <c r="B62" s="56" t="s">
        <v>117</v>
      </c>
      <c r="C62" s="57">
        <v>4</v>
      </c>
      <c r="D62" s="57">
        <v>80</v>
      </c>
      <c r="E62" s="56" t="s">
        <v>282</v>
      </c>
      <c r="F62" s="58" t="s">
        <v>283</v>
      </c>
      <c r="G62" s="59" t="s">
        <v>279</v>
      </c>
      <c r="H62" s="56" t="s">
        <v>284</v>
      </c>
      <c r="I62" s="60"/>
    </row>
    <row r="63" spans="1:9" ht="36" customHeight="1" x14ac:dyDescent="0.3">
      <c r="A63" s="61" t="s">
        <v>343</v>
      </c>
      <c r="B63" s="61" t="s">
        <v>117</v>
      </c>
      <c r="C63" s="62">
        <v>5</v>
      </c>
      <c r="D63" s="62">
        <v>100</v>
      </c>
      <c r="E63" s="61" t="s">
        <v>286</v>
      </c>
      <c r="F63" s="63" t="s">
        <v>287</v>
      </c>
      <c r="G63" s="64" t="s">
        <v>288</v>
      </c>
      <c r="H63" s="61" t="s">
        <v>289</v>
      </c>
      <c r="I63" s="65"/>
    </row>
    <row r="64" spans="1:9" ht="36" customHeight="1" x14ac:dyDescent="0.3">
      <c r="A64" s="41" t="s">
        <v>344</v>
      </c>
      <c r="B64" s="41" t="s">
        <v>119</v>
      </c>
      <c r="C64" s="42">
        <v>0</v>
      </c>
      <c r="D64" s="42">
        <v>0</v>
      </c>
      <c r="E64" s="41" t="s">
        <v>265</v>
      </c>
      <c r="F64" s="43" t="s">
        <v>266</v>
      </c>
      <c r="G64" s="42" t="s">
        <v>267</v>
      </c>
      <c r="H64" s="41" t="s">
        <v>268</v>
      </c>
      <c r="I64" s="44"/>
    </row>
    <row r="65" spans="1:9" ht="36" customHeight="1" x14ac:dyDescent="0.3">
      <c r="A65" s="41" t="s">
        <v>345</v>
      </c>
      <c r="B65" s="41" t="s">
        <v>119</v>
      </c>
      <c r="C65" s="45">
        <v>1</v>
      </c>
      <c r="D65" s="45">
        <v>20</v>
      </c>
      <c r="E65" s="41" t="s">
        <v>270</v>
      </c>
      <c r="F65" s="43" t="s">
        <v>271</v>
      </c>
      <c r="G65" s="42" t="s">
        <v>267</v>
      </c>
      <c r="H65" s="41" t="s">
        <v>272</v>
      </c>
      <c r="I65" s="44"/>
    </row>
    <row r="66" spans="1:9" ht="36" customHeight="1" x14ac:dyDescent="0.3">
      <c r="A66" s="46" t="s">
        <v>346</v>
      </c>
      <c r="B66" s="46" t="s">
        <v>119</v>
      </c>
      <c r="C66" s="47">
        <v>2</v>
      </c>
      <c r="D66" s="47">
        <v>40</v>
      </c>
      <c r="E66" s="46" t="s">
        <v>274</v>
      </c>
      <c r="F66" s="48" t="s">
        <v>275</v>
      </c>
      <c r="G66" s="49" t="s">
        <v>267</v>
      </c>
      <c r="H66" s="46" t="s">
        <v>272</v>
      </c>
      <c r="I66" s="50"/>
    </row>
    <row r="67" spans="1:9" ht="36" customHeight="1" x14ac:dyDescent="0.3">
      <c r="A67" s="51" t="s">
        <v>347</v>
      </c>
      <c r="B67" s="51" t="s">
        <v>119</v>
      </c>
      <c r="C67" s="52">
        <v>3</v>
      </c>
      <c r="D67" s="52">
        <v>60</v>
      </c>
      <c r="E67" s="51" t="s">
        <v>277</v>
      </c>
      <c r="F67" s="53" t="s">
        <v>278</v>
      </c>
      <c r="G67" s="54" t="s">
        <v>279</v>
      </c>
      <c r="H67" s="51" t="s">
        <v>280</v>
      </c>
      <c r="I67" s="55"/>
    </row>
    <row r="68" spans="1:9" ht="36" customHeight="1" x14ac:dyDescent="0.3">
      <c r="A68" s="56" t="s">
        <v>348</v>
      </c>
      <c r="B68" s="56" t="s">
        <v>119</v>
      </c>
      <c r="C68" s="57">
        <v>4</v>
      </c>
      <c r="D68" s="57">
        <v>80</v>
      </c>
      <c r="E68" s="56" t="s">
        <v>282</v>
      </c>
      <c r="F68" s="58" t="s">
        <v>283</v>
      </c>
      <c r="G68" s="59" t="s">
        <v>279</v>
      </c>
      <c r="H68" s="56" t="s">
        <v>284</v>
      </c>
      <c r="I68" s="60"/>
    </row>
    <row r="69" spans="1:9" ht="36" customHeight="1" x14ac:dyDescent="0.3">
      <c r="A69" s="61" t="s">
        <v>349</v>
      </c>
      <c r="B69" s="61" t="s">
        <v>119</v>
      </c>
      <c r="C69" s="62">
        <v>5</v>
      </c>
      <c r="D69" s="62">
        <v>100</v>
      </c>
      <c r="E69" s="61" t="s">
        <v>286</v>
      </c>
      <c r="F69" s="63" t="s">
        <v>287</v>
      </c>
      <c r="G69" s="64" t="s">
        <v>288</v>
      </c>
      <c r="H69" s="61" t="s">
        <v>289</v>
      </c>
      <c r="I69" s="65"/>
    </row>
    <row r="70" spans="1:9" ht="36" customHeight="1" x14ac:dyDescent="0.3">
      <c r="A70" s="41" t="s">
        <v>350</v>
      </c>
      <c r="B70" s="41" t="s">
        <v>121</v>
      </c>
      <c r="C70" s="42">
        <v>0</v>
      </c>
      <c r="D70" s="42">
        <v>0</v>
      </c>
      <c r="E70" s="41" t="s">
        <v>265</v>
      </c>
      <c r="F70" s="43" t="s">
        <v>266</v>
      </c>
      <c r="G70" s="42" t="s">
        <v>267</v>
      </c>
      <c r="H70" s="41" t="s">
        <v>268</v>
      </c>
      <c r="I70" s="44"/>
    </row>
    <row r="71" spans="1:9" ht="36" customHeight="1" x14ac:dyDescent="0.3">
      <c r="A71" s="41" t="s">
        <v>351</v>
      </c>
      <c r="B71" s="41" t="s">
        <v>121</v>
      </c>
      <c r="C71" s="45">
        <v>1</v>
      </c>
      <c r="D71" s="45">
        <v>20</v>
      </c>
      <c r="E71" s="41" t="s">
        <v>270</v>
      </c>
      <c r="F71" s="43" t="s">
        <v>271</v>
      </c>
      <c r="G71" s="42" t="s">
        <v>267</v>
      </c>
      <c r="H71" s="41" t="s">
        <v>272</v>
      </c>
      <c r="I71" s="44"/>
    </row>
    <row r="72" spans="1:9" ht="36" customHeight="1" x14ac:dyDescent="0.3">
      <c r="A72" s="46" t="s">
        <v>352</v>
      </c>
      <c r="B72" s="46" t="s">
        <v>121</v>
      </c>
      <c r="C72" s="47">
        <v>2</v>
      </c>
      <c r="D72" s="47">
        <v>40</v>
      </c>
      <c r="E72" s="46" t="s">
        <v>274</v>
      </c>
      <c r="F72" s="48" t="s">
        <v>275</v>
      </c>
      <c r="G72" s="49" t="s">
        <v>267</v>
      </c>
      <c r="H72" s="46" t="s">
        <v>272</v>
      </c>
      <c r="I72" s="50"/>
    </row>
    <row r="73" spans="1:9" ht="36" customHeight="1" x14ac:dyDescent="0.3">
      <c r="A73" s="51" t="s">
        <v>353</v>
      </c>
      <c r="B73" s="51" t="s">
        <v>121</v>
      </c>
      <c r="C73" s="52">
        <v>3</v>
      </c>
      <c r="D73" s="52">
        <v>60</v>
      </c>
      <c r="E73" s="51" t="s">
        <v>277</v>
      </c>
      <c r="F73" s="53" t="s">
        <v>278</v>
      </c>
      <c r="G73" s="54" t="s">
        <v>279</v>
      </c>
      <c r="H73" s="51" t="s">
        <v>280</v>
      </c>
      <c r="I73" s="55"/>
    </row>
    <row r="74" spans="1:9" ht="36" customHeight="1" x14ac:dyDescent="0.3">
      <c r="A74" s="56" t="s">
        <v>354</v>
      </c>
      <c r="B74" s="56" t="s">
        <v>121</v>
      </c>
      <c r="C74" s="57">
        <v>4</v>
      </c>
      <c r="D74" s="57">
        <v>80</v>
      </c>
      <c r="E74" s="56" t="s">
        <v>282</v>
      </c>
      <c r="F74" s="58" t="s">
        <v>283</v>
      </c>
      <c r="G74" s="59" t="s">
        <v>279</v>
      </c>
      <c r="H74" s="56" t="s">
        <v>284</v>
      </c>
      <c r="I74" s="60"/>
    </row>
    <row r="75" spans="1:9" ht="36" customHeight="1" x14ac:dyDescent="0.3">
      <c r="A75" s="61" t="s">
        <v>355</v>
      </c>
      <c r="B75" s="61" t="s">
        <v>121</v>
      </c>
      <c r="C75" s="62">
        <v>5</v>
      </c>
      <c r="D75" s="62">
        <v>100</v>
      </c>
      <c r="E75" s="61" t="s">
        <v>286</v>
      </c>
      <c r="F75" s="63" t="s">
        <v>287</v>
      </c>
      <c r="G75" s="64" t="s">
        <v>288</v>
      </c>
      <c r="H75" s="61" t="s">
        <v>289</v>
      </c>
      <c r="I75" s="65"/>
    </row>
    <row r="76" spans="1:9" ht="36" customHeight="1" x14ac:dyDescent="0.3">
      <c r="A76" s="41" t="s">
        <v>356</v>
      </c>
      <c r="B76" s="41" t="s">
        <v>123</v>
      </c>
      <c r="C76" s="42">
        <v>0</v>
      </c>
      <c r="D76" s="42">
        <v>0</v>
      </c>
      <c r="E76" s="41" t="s">
        <v>265</v>
      </c>
      <c r="F76" s="43" t="s">
        <v>266</v>
      </c>
      <c r="G76" s="42" t="s">
        <v>267</v>
      </c>
      <c r="H76" s="41" t="s">
        <v>268</v>
      </c>
      <c r="I76" s="44"/>
    </row>
    <row r="77" spans="1:9" ht="36" customHeight="1" x14ac:dyDescent="0.3">
      <c r="A77" s="41" t="s">
        <v>357</v>
      </c>
      <c r="B77" s="41" t="s">
        <v>123</v>
      </c>
      <c r="C77" s="45">
        <v>1</v>
      </c>
      <c r="D77" s="45">
        <v>20</v>
      </c>
      <c r="E77" s="41" t="s">
        <v>270</v>
      </c>
      <c r="F77" s="43" t="s">
        <v>271</v>
      </c>
      <c r="G77" s="42" t="s">
        <v>267</v>
      </c>
      <c r="H77" s="41" t="s">
        <v>272</v>
      </c>
      <c r="I77" s="44"/>
    </row>
    <row r="78" spans="1:9" ht="36" customHeight="1" x14ac:dyDescent="0.3">
      <c r="A78" s="46" t="s">
        <v>358</v>
      </c>
      <c r="B78" s="46" t="s">
        <v>123</v>
      </c>
      <c r="C78" s="47">
        <v>2</v>
      </c>
      <c r="D78" s="47">
        <v>40</v>
      </c>
      <c r="E78" s="46" t="s">
        <v>274</v>
      </c>
      <c r="F78" s="48" t="s">
        <v>275</v>
      </c>
      <c r="G78" s="49" t="s">
        <v>267</v>
      </c>
      <c r="H78" s="46" t="s">
        <v>272</v>
      </c>
      <c r="I78" s="50"/>
    </row>
    <row r="79" spans="1:9" ht="36" customHeight="1" x14ac:dyDescent="0.3">
      <c r="A79" s="51" t="s">
        <v>359</v>
      </c>
      <c r="B79" s="51" t="s">
        <v>123</v>
      </c>
      <c r="C79" s="52">
        <v>3</v>
      </c>
      <c r="D79" s="52">
        <v>60</v>
      </c>
      <c r="E79" s="51" t="s">
        <v>277</v>
      </c>
      <c r="F79" s="53" t="s">
        <v>278</v>
      </c>
      <c r="G79" s="54" t="s">
        <v>279</v>
      </c>
      <c r="H79" s="51" t="s">
        <v>280</v>
      </c>
      <c r="I79" s="55"/>
    </row>
    <row r="80" spans="1:9" ht="36" customHeight="1" x14ac:dyDescent="0.3">
      <c r="A80" s="56" t="s">
        <v>360</v>
      </c>
      <c r="B80" s="56" t="s">
        <v>123</v>
      </c>
      <c r="C80" s="57">
        <v>4</v>
      </c>
      <c r="D80" s="57">
        <v>80</v>
      </c>
      <c r="E80" s="56" t="s">
        <v>282</v>
      </c>
      <c r="F80" s="58" t="s">
        <v>283</v>
      </c>
      <c r="G80" s="59" t="s">
        <v>279</v>
      </c>
      <c r="H80" s="56" t="s">
        <v>284</v>
      </c>
      <c r="I80" s="60"/>
    </row>
    <row r="81" spans="1:9" ht="36" customHeight="1" x14ac:dyDescent="0.3">
      <c r="A81" s="61" t="s">
        <v>361</v>
      </c>
      <c r="B81" s="61" t="s">
        <v>123</v>
      </c>
      <c r="C81" s="62">
        <v>5</v>
      </c>
      <c r="D81" s="62">
        <v>100</v>
      </c>
      <c r="E81" s="61" t="s">
        <v>286</v>
      </c>
      <c r="F81" s="63" t="s">
        <v>287</v>
      </c>
      <c r="G81" s="64" t="s">
        <v>288</v>
      </c>
      <c r="H81" s="61" t="s">
        <v>289</v>
      </c>
      <c r="I81" s="65"/>
    </row>
    <row r="82" spans="1:9" ht="36" customHeight="1" x14ac:dyDescent="0.3">
      <c r="A82" s="41" t="s">
        <v>362</v>
      </c>
      <c r="B82" s="41" t="s">
        <v>125</v>
      </c>
      <c r="C82" s="42">
        <v>0</v>
      </c>
      <c r="D82" s="42">
        <v>0</v>
      </c>
      <c r="E82" s="41" t="s">
        <v>265</v>
      </c>
      <c r="F82" s="43" t="s">
        <v>266</v>
      </c>
      <c r="G82" s="42" t="s">
        <v>267</v>
      </c>
      <c r="H82" s="41" t="s">
        <v>268</v>
      </c>
      <c r="I82" s="44"/>
    </row>
    <row r="83" spans="1:9" ht="36" customHeight="1" x14ac:dyDescent="0.3">
      <c r="A83" s="41" t="s">
        <v>363</v>
      </c>
      <c r="B83" s="41" t="s">
        <v>125</v>
      </c>
      <c r="C83" s="45">
        <v>1</v>
      </c>
      <c r="D83" s="45">
        <v>20</v>
      </c>
      <c r="E83" s="41" t="s">
        <v>270</v>
      </c>
      <c r="F83" s="43" t="s">
        <v>271</v>
      </c>
      <c r="G83" s="42" t="s">
        <v>267</v>
      </c>
      <c r="H83" s="41" t="s">
        <v>272</v>
      </c>
      <c r="I83" s="44"/>
    </row>
    <row r="84" spans="1:9" ht="36" customHeight="1" x14ac:dyDescent="0.3">
      <c r="A84" s="46" t="s">
        <v>364</v>
      </c>
      <c r="B84" s="46" t="s">
        <v>125</v>
      </c>
      <c r="C84" s="47">
        <v>2</v>
      </c>
      <c r="D84" s="47">
        <v>40</v>
      </c>
      <c r="E84" s="46" t="s">
        <v>274</v>
      </c>
      <c r="F84" s="48" t="s">
        <v>275</v>
      </c>
      <c r="G84" s="49" t="s">
        <v>267</v>
      </c>
      <c r="H84" s="46" t="s">
        <v>272</v>
      </c>
      <c r="I84" s="50"/>
    </row>
    <row r="85" spans="1:9" ht="36" customHeight="1" x14ac:dyDescent="0.3">
      <c r="A85" s="51" t="s">
        <v>365</v>
      </c>
      <c r="B85" s="51" t="s">
        <v>125</v>
      </c>
      <c r="C85" s="52">
        <v>3</v>
      </c>
      <c r="D85" s="52">
        <v>60</v>
      </c>
      <c r="E85" s="51" t="s">
        <v>277</v>
      </c>
      <c r="F85" s="53" t="s">
        <v>278</v>
      </c>
      <c r="G85" s="54" t="s">
        <v>279</v>
      </c>
      <c r="H85" s="51" t="s">
        <v>280</v>
      </c>
      <c r="I85" s="55"/>
    </row>
    <row r="86" spans="1:9" ht="36" customHeight="1" x14ac:dyDescent="0.3">
      <c r="A86" s="56" t="s">
        <v>366</v>
      </c>
      <c r="B86" s="56" t="s">
        <v>125</v>
      </c>
      <c r="C86" s="57">
        <v>4</v>
      </c>
      <c r="D86" s="57">
        <v>80</v>
      </c>
      <c r="E86" s="56" t="s">
        <v>282</v>
      </c>
      <c r="F86" s="58" t="s">
        <v>283</v>
      </c>
      <c r="G86" s="59" t="s">
        <v>279</v>
      </c>
      <c r="H86" s="56" t="s">
        <v>284</v>
      </c>
      <c r="I86" s="60"/>
    </row>
    <row r="87" spans="1:9" ht="36" customHeight="1" x14ac:dyDescent="0.3">
      <c r="A87" s="61" t="s">
        <v>367</v>
      </c>
      <c r="B87" s="61" t="s">
        <v>125</v>
      </c>
      <c r="C87" s="62">
        <v>5</v>
      </c>
      <c r="D87" s="62">
        <v>100</v>
      </c>
      <c r="E87" s="61" t="s">
        <v>286</v>
      </c>
      <c r="F87" s="63" t="s">
        <v>287</v>
      </c>
      <c r="G87" s="64" t="s">
        <v>288</v>
      </c>
      <c r="H87" s="61" t="s">
        <v>289</v>
      </c>
      <c r="I87" s="65"/>
    </row>
    <row r="88" spans="1:9" ht="36" customHeight="1" x14ac:dyDescent="0.3">
      <c r="A88" s="41" t="s">
        <v>368</v>
      </c>
      <c r="B88" s="41" t="s">
        <v>127</v>
      </c>
      <c r="C88" s="42">
        <v>0</v>
      </c>
      <c r="D88" s="42">
        <v>0</v>
      </c>
      <c r="E88" s="41" t="s">
        <v>265</v>
      </c>
      <c r="F88" s="43" t="s">
        <v>266</v>
      </c>
      <c r="G88" s="42" t="s">
        <v>267</v>
      </c>
      <c r="H88" s="41" t="s">
        <v>268</v>
      </c>
      <c r="I88" s="44"/>
    </row>
    <row r="89" spans="1:9" ht="36" customHeight="1" x14ac:dyDescent="0.3">
      <c r="A89" s="41" t="s">
        <v>369</v>
      </c>
      <c r="B89" s="41" t="s">
        <v>127</v>
      </c>
      <c r="C89" s="45">
        <v>1</v>
      </c>
      <c r="D89" s="45">
        <v>20</v>
      </c>
      <c r="E89" s="41" t="s">
        <v>270</v>
      </c>
      <c r="F89" s="43" t="s">
        <v>271</v>
      </c>
      <c r="G89" s="42" t="s">
        <v>267</v>
      </c>
      <c r="H89" s="41" t="s">
        <v>272</v>
      </c>
      <c r="I89" s="44"/>
    </row>
    <row r="90" spans="1:9" ht="36" customHeight="1" x14ac:dyDescent="0.3">
      <c r="A90" s="46" t="s">
        <v>370</v>
      </c>
      <c r="B90" s="46" t="s">
        <v>127</v>
      </c>
      <c r="C90" s="47">
        <v>2</v>
      </c>
      <c r="D90" s="47">
        <v>40</v>
      </c>
      <c r="E90" s="46" t="s">
        <v>274</v>
      </c>
      <c r="F90" s="48" t="s">
        <v>275</v>
      </c>
      <c r="G90" s="49" t="s">
        <v>267</v>
      </c>
      <c r="H90" s="46" t="s">
        <v>272</v>
      </c>
      <c r="I90" s="50"/>
    </row>
    <row r="91" spans="1:9" ht="36" customHeight="1" x14ac:dyDescent="0.3">
      <c r="A91" s="51" t="s">
        <v>371</v>
      </c>
      <c r="B91" s="51" t="s">
        <v>127</v>
      </c>
      <c r="C91" s="52">
        <v>3</v>
      </c>
      <c r="D91" s="52">
        <v>60</v>
      </c>
      <c r="E91" s="51" t="s">
        <v>277</v>
      </c>
      <c r="F91" s="53" t="s">
        <v>278</v>
      </c>
      <c r="G91" s="54" t="s">
        <v>279</v>
      </c>
      <c r="H91" s="51" t="s">
        <v>280</v>
      </c>
      <c r="I91" s="55"/>
    </row>
    <row r="92" spans="1:9" ht="36" customHeight="1" x14ac:dyDescent="0.3">
      <c r="A92" s="56" t="s">
        <v>372</v>
      </c>
      <c r="B92" s="56" t="s">
        <v>127</v>
      </c>
      <c r="C92" s="57">
        <v>4</v>
      </c>
      <c r="D92" s="57">
        <v>80</v>
      </c>
      <c r="E92" s="56" t="s">
        <v>282</v>
      </c>
      <c r="F92" s="58" t="s">
        <v>283</v>
      </c>
      <c r="G92" s="59" t="s">
        <v>279</v>
      </c>
      <c r="H92" s="56" t="s">
        <v>284</v>
      </c>
      <c r="I92" s="60"/>
    </row>
    <row r="93" spans="1:9" ht="36" customHeight="1" x14ac:dyDescent="0.3">
      <c r="A93" s="61" t="s">
        <v>373</v>
      </c>
      <c r="B93" s="61" t="s">
        <v>127</v>
      </c>
      <c r="C93" s="62">
        <v>5</v>
      </c>
      <c r="D93" s="62">
        <v>100</v>
      </c>
      <c r="E93" s="61" t="s">
        <v>286</v>
      </c>
      <c r="F93" s="63" t="s">
        <v>287</v>
      </c>
      <c r="G93" s="64" t="s">
        <v>288</v>
      </c>
      <c r="H93" s="61" t="s">
        <v>289</v>
      </c>
      <c r="I93" s="65"/>
    </row>
    <row r="94" spans="1:9" ht="36" customHeight="1" x14ac:dyDescent="0.3">
      <c r="A94" s="41" t="s">
        <v>374</v>
      </c>
      <c r="B94" s="41" t="s">
        <v>129</v>
      </c>
      <c r="C94" s="42">
        <v>0</v>
      </c>
      <c r="D94" s="42">
        <v>0</v>
      </c>
      <c r="E94" s="41" t="s">
        <v>265</v>
      </c>
      <c r="F94" s="43" t="s">
        <v>266</v>
      </c>
      <c r="G94" s="42" t="s">
        <v>267</v>
      </c>
      <c r="H94" s="41" t="s">
        <v>268</v>
      </c>
      <c r="I94" s="44"/>
    </row>
    <row r="95" spans="1:9" ht="36" customHeight="1" x14ac:dyDescent="0.3">
      <c r="A95" s="41" t="s">
        <v>375</v>
      </c>
      <c r="B95" s="41" t="s">
        <v>129</v>
      </c>
      <c r="C95" s="45">
        <v>1</v>
      </c>
      <c r="D95" s="45">
        <v>20</v>
      </c>
      <c r="E95" s="41" t="s">
        <v>270</v>
      </c>
      <c r="F95" s="43" t="s">
        <v>271</v>
      </c>
      <c r="G95" s="42" t="s">
        <v>267</v>
      </c>
      <c r="H95" s="41" t="s">
        <v>272</v>
      </c>
      <c r="I95" s="44"/>
    </row>
    <row r="96" spans="1:9" ht="36" customHeight="1" x14ac:dyDescent="0.3">
      <c r="A96" s="46" t="s">
        <v>376</v>
      </c>
      <c r="B96" s="46" t="s">
        <v>129</v>
      </c>
      <c r="C96" s="47">
        <v>2</v>
      </c>
      <c r="D96" s="47">
        <v>40</v>
      </c>
      <c r="E96" s="46" t="s">
        <v>274</v>
      </c>
      <c r="F96" s="48" t="s">
        <v>275</v>
      </c>
      <c r="G96" s="49" t="s">
        <v>267</v>
      </c>
      <c r="H96" s="46" t="s">
        <v>272</v>
      </c>
      <c r="I96" s="50"/>
    </row>
    <row r="97" spans="1:9" ht="36" customHeight="1" x14ac:dyDescent="0.3">
      <c r="A97" s="51" t="s">
        <v>377</v>
      </c>
      <c r="B97" s="51" t="s">
        <v>129</v>
      </c>
      <c r="C97" s="52">
        <v>3</v>
      </c>
      <c r="D97" s="52">
        <v>60</v>
      </c>
      <c r="E97" s="51" t="s">
        <v>277</v>
      </c>
      <c r="F97" s="53" t="s">
        <v>278</v>
      </c>
      <c r="G97" s="54" t="s">
        <v>279</v>
      </c>
      <c r="H97" s="51" t="s">
        <v>280</v>
      </c>
      <c r="I97" s="55"/>
    </row>
    <row r="98" spans="1:9" ht="36" customHeight="1" x14ac:dyDescent="0.3">
      <c r="A98" s="56" t="s">
        <v>378</v>
      </c>
      <c r="B98" s="56" t="s">
        <v>129</v>
      </c>
      <c r="C98" s="57">
        <v>4</v>
      </c>
      <c r="D98" s="57">
        <v>80</v>
      </c>
      <c r="E98" s="56" t="s">
        <v>282</v>
      </c>
      <c r="F98" s="58" t="s">
        <v>283</v>
      </c>
      <c r="G98" s="59" t="s">
        <v>279</v>
      </c>
      <c r="H98" s="56" t="s">
        <v>284</v>
      </c>
      <c r="I98" s="60"/>
    </row>
    <row r="99" spans="1:9" ht="36" customHeight="1" x14ac:dyDescent="0.3">
      <c r="A99" s="61" t="s">
        <v>379</v>
      </c>
      <c r="B99" s="61" t="s">
        <v>129</v>
      </c>
      <c r="C99" s="62">
        <v>5</v>
      </c>
      <c r="D99" s="62">
        <v>100</v>
      </c>
      <c r="E99" s="61" t="s">
        <v>286</v>
      </c>
      <c r="F99" s="63" t="s">
        <v>287</v>
      </c>
      <c r="G99" s="64" t="s">
        <v>288</v>
      </c>
      <c r="H99" s="61" t="s">
        <v>289</v>
      </c>
      <c r="I99" s="65"/>
    </row>
    <row r="100" spans="1:9" ht="36" customHeight="1" x14ac:dyDescent="0.3">
      <c r="A100" s="41" t="s">
        <v>380</v>
      </c>
      <c r="B100" s="41" t="s">
        <v>131</v>
      </c>
      <c r="C100" s="42">
        <v>0</v>
      </c>
      <c r="D100" s="42">
        <v>0</v>
      </c>
      <c r="E100" s="41" t="s">
        <v>265</v>
      </c>
      <c r="F100" s="43" t="s">
        <v>266</v>
      </c>
      <c r="G100" s="42" t="s">
        <v>267</v>
      </c>
      <c r="H100" s="41" t="s">
        <v>268</v>
      </c>
      <c r="I100" s="44"/>
    </row>
    <row r="101" spans="1:9" ht="36" customHeight="1" x14ac:dyDescent="0.3">
      <c r="A101" s="41" t="s">
        <v>381</v>
      </c>
      <c r="B101" s="41" t="s">
        <v>131</v>
      </c>
      <c r="C101" s="45">
        <v>1</v>
      </c>
      <c r="D101" s="45">
        <v>20</v>
      </c>
      <c r="E101" s="41" t="s">
        <v>270</v>
      </c>
      <c r="F101" s="43" t="s">
        <v>271</v>
      </c>
      <c r="G101" s="42" t="s">
        <v>267</v>
      </c>
      <c r="H101" s="41" t="s">
        <v>272</v>
      </c>
      <c r="I101" s="44"/>
    </row>
    <row r="102" spans="1:9" ht="36" customHeight="1" x14ac:dyDescent="0.3">
      <c r="A102" s="46" t="s">
        <v>382</v>
      </c>
      <c r="B102" s="46" t="s">
        <v>131</v>
      </c>
      <c r="C102" s="47">
        <v>2</v>
      </c>
      <c r="D102" s="47">
        <v>40</v>
      </c>
      <c r="E102" s="46" t="s">
        <v>274</v>
      </c>
      <c r="F102" s="48" t="s">
        <v>275</v>
      </c>
      <c r="G102" s="49" t="s">
        <v>267</v>
      </c>
      <c r="H102" s="46" t="s">
        <v>272</v>
      </c>
      <c r="I102" s="50"/>
    </row>
    <row r="103" spans="1:9" ht="36" customHeight="1" x14ac:dyDescent="0.3">
      <c r="A103" s="51" t="s">
        <v>383</v>
      </c>
      <c r="B103" s="51" t="s">
        <v>131</v>
      </c>
      <c r="C103" s="52">
        <v>3</v>
      </c>
      <c r="D103" s="52">
        <v>60</v>
      </c>
      <c r="E103" s="51" t="s">
        <v>277</v>
      </c>
      <c r="F103" s="53" t="s">
        <v>278</v>
      </c>
      <c r="G103" s="54" t="s">
        <v>279</v>
      </c>
      <c r="H103" s="51" t="s">
        <v>280</v>
      </c>
      <c r="I103" s="55"/>
    </row>
    <row r="104" spans="1:9" ht="36" customHeight="1" x14ac:dyDescent="0.3">
      <c r="A104" s="56" t="s">
        <v>384</v>
      </c>
      <c r="B104" s="56" t="s">
        <v>131</v>
      </c>
      <c r="C104" s="57">
        <v>4</v>
      </c>
      <c r="D104" s="57">
        <v>80</v>
      </c>
      <c r="E104" s="56" t="s">
        <v>282</v>
      </c>
      <c r="F104" s="58" t="s">
        <v>283</v>
      </c>
      <c r="G104" s="59" t="s">
        <v>279</v>
      </c>
      <c r="H104" s="56" t="s">
        <v>284</v>
      </c>
      <c r="I104" s="60"/>
    </row>
    <row r="105" spans="1:9" ht="36" customHeight="1" x14ac:dyDescent="0.3">
      <c r="A105" s="61" t="s">
        <v>385</v>
      </c>
      <c r="B105" s="61" t="s">
        <v>131</v>
      </c>
      <c r="C105" s="62">
        <v>5</v>
      </c>
      <c r="D105" s="62">
        <v>100</v>
      </c>
      <c r="E105" s="61" t="s">
        <v>286</v>
      </c>
      <c r="F105" s="63" t="s">
        <v>287</v>
      </c>
      <c r="G105" s="64" t="s">
        <v>288</v>
      </c>
      <c r="H105" s="61" t="s">
        <v>289</v>
      </c>
      <c r="I105" s="65"/>
    </row>
    <row r="106" spans="1:9" ht="36" customHeight="1" x14ac:dyDescent="0.3">
      <c r="A106" s="41" t="s">
        <v>386</v>
      </c>
      <c r="B106" s="41" t="s">
        <v>133</v>
      </c>
      <c r="C106" s="42">
        <v>0</v>
      </c>
      <c r="D106" s="42">
        <v>0</v>
      </c>
      <c r="E106" s="41" t="s">
        <v>265</v>
      </c>
      <c r="F106" s="43" t="s">
        <v>266</v>
      </c>
      <c r="G106" s="42" t="s">
        <v>267</v>
      </c>
      <c r="H106" s="41" t="s">
        <v>268</v>
      </c>
      <c r="I106" s="44"/>
    </row>
    <row r="107" spans="1:9" ht="36" customHeight="1" x14ac:dyDescent="0.3">
      <c r="A107" s="41" t="s">
        <v>387</v>
      </c>
      <c r="B107" s="41" t="s">
        <v>133</v>
      </c>
      <c r="C107" s="45">
        <v>1</v>
      </c>
      <c r="D107" s="45">
        <v>20</v>
      </c>
      <c r="E107" s="41" t="s">
        <v>270</v>
      </c>
      <c r="F107" s="43" t="s">
        <v>271</v>
      </c>
      <c r="G107" s="42" t="s">
        <v>267</v>
      </c>
      <c r="H107" s="41" t="s">
        <v>272</v>
      </c>
      <c r="I107" s="44"/>
    </row>
    <row r="108" spans="1:9" ht="36" customHeight="1" x14ac:dyDescent="0.3">
      <c r="A108" s="46" t="s">
        <v>388</v>
      </c>
      <c r="B108" s="46" t="s">
        <v>133</v>
      </c>
      <c r="C108" s="47">
        <v>2</v>
      </c>
      <c r="D108" s="47">
        <v>40</v>
      </c>
      <c r="E108" s="46" t="s">
        <v>274</v>
      </c>
      <c r="F108" s="48" t="s">
        <v>275</v>
      </c>
      <c r="G108" s="49" t="s">
        <v>267</v>
      </c>
      <c r="H108" s="46" t="s">
        <v>272</v>
      </c>
      <c r="I108" s="50"/>
    </row>
    <row r="109" spans="1:9" ht="36" customHeight="1" x14ac:dyDescent="0.3">
      <c r="A109" s="51" t="s">
        <v>389</v>
      </c>
      <c r="B109" s="51" t="s">
        <v>133</v>
      </c>
      <c r="C109" s="52">
        <v>3</v>
      </c>
      <c r="D109" s="52">
        <v>60</v>
      </c>
      <c r="E109" s="51" t="s">
        <v>277</v>
      </c>
      <c r="F109" s="53" t="s">
        <v>278</v>
      </c>
      <c r="G109" s="54" t="s">
        <v>279</v>
      </c>
      <c r="H109" s="51" t="s">
        <v>280</v>
      </c>
      <c r="I109" s="55"/>
    </row>
    <row r="110" spans="1:9" ht="36" customHeight="1" x14ac:dyDescent="0.3">
      <c r="A110" s="56" t="s">
        <v>390</v>
      </c>
      <c r="B110" s="56" t="s">
        <v>133</v>
      </c>
      <c r="C110" s="57">
        <v>4</v>
      </c>
      <c r="D110" s="57">
        <v>80</v>
      </c>
      <c r="E110" s="56" t="s">
        <v>282</v>
      </c>
      <c r="F110" s="58" t="s">
        <v>283</v>
      </c>
      <c r="G110" s="59" t="s">
        <v>279</v>
      </c>
      <c r="H110" s="56" t="s">
        <v>284</v>
      </c>
      <c r="I110" s="60"/>
    </row>
    <row r="111" spans="1:9" ht="36" customHeight="1" x14ac:dyDescent="0.3">
      <c r="A111" s="61" t="s">
        <v>391</v>
      </c>
      <c r="B111" s="61" t="s">
        <v>133</v>
      </c>
      <c r="C111" s="62">
        <v>5</v>
      </c>
      <c r="D111" s="62">
        <v>100</v>
      </c>
      <c r="E111" s="61" t="s">
        <v>286</v>
      </c>
      <c r="F111" s="63" t="s">
        <v>287</v>
      </c>
      <c r="G111" s="64" t="s">
        <v>288</v>
      </c>
      <c r="H111" s="61" t="s">
        <v>289</v>
      </c>
      <c r="I111" s="65"/>
    </row>
    <row r="112" spans="1:9" ht="36" customHeight="1" x14ac:dyDescent="0.3">
      <c r="A112" s="41" t="s">
        <v>392</v>
      </c>
      <c r="B112" s="41" t="s">
        <v>135</v>
      </c>
      <c r="C112" s="42">
        <v>0</v>
      </c>
      <c r="D112" s="42">
        <v>0</v>
      </c>
      <c r="E112" s="41" t="s">
        <v>265</v>
      </c>
      <c r="F112" s="43" t="s">
        <v>266</v>
      </c>
      <c r="G112" s="42" t="s">
        <v>267</v>
      </c>
      <c r="H112" s="41" t="s">
        <v>268</v>
      </c>
      <c r="I112" s="44"/>
    </row>
    <row r="113" spans="1:9" ht="36" customHeight="1" x14ac:dyDescent="0.3">
      <c r="A113" s="41" t="s">
        <v>393</v>
      </c>
      <c r="B113" s="41" t="s">
        <v>135</v>
      </c>
      <c r="C113" s="45">
        <v>1</v>
      </c>
      <c r="D113" s="45">
        <v>20</v>
      </c>
      <c r="E113" s="41" t="s">
        <v>270</v>
      </c>
      <c r="F113" s="43" t="s">
        <v>271</v>
      </c>
      <c r="G113" s="42" t="s">
        <v>267</v>
      </c>
      <c r="H113" s="41" t="s">
        <v>272</v>
      </c>
      <c r="I113" s="44"/>
    </row>
    <row r="114" spans="1:9" ht="36" customHeight="1" x14ac:dyDescent="0.3">
      <c r="A114" s="46" t="s">
        <v>394</v>
      </c>
      <c r="B114" s="46" t="s">
        <v>135</v>
      </c>
      <c r="C114" s="47">
        <v>2</v>
      </c>
      <c r="D114" s="47">
        <v>40</v>
      </c>
      <c r="E114" s="46" t="s">
        <v>274</v>
      </c>
      <c r="F114" s="48" t="s">
        <v>275</v>
      </c>
      <c r="G114" s="49" t="s">
        <v>267</v>
      </c>
      <c r="H114" s="46" t="s">
        <v>272</v>
      </c>
      <c r="I114" s="50"/>
    </row>
    <row r="115" spans="1:9" ht="36" customHeight="1" x14ac:dyDescent="0.3">
      <c r="A115" s="51" t="s">
        <v>395</v>
      </c>
      <c r="B115" s="51" t="s">
        <v>135</v>
      </c>
      <c r="C115" s="52">
        <v>3</v>
      </c>
      <c r="D115" s="52">
        <v>60</v>
      </c>
      <c r="E115" s="51" t="s">
        <v>277</v>
      </c>
      <c r="F115" s="53" t="s">
        <v>278</v>
      </c>
      <c r="G115" s="54" t="s">
        <v>279</v>
      </c>
      <c r="H115" s="51" t="s">
        <v>280</v>
      </c>
      <c r="I115" s="55"/>
    </row>
    <row r="116" spans="1:9" ht="36" customHeight="1" x14ac:dyDescent="0.3">
      <c r="A116" s="56" t="s">
        <v>396</v>
      </c>
      <c r="B116" s="56" t="s">
        <v>135</v>
      </c>
      <c r="C116" s="57">
        <v>4</v>
      </c>
      <c r="D116" s="57">
        <v>80</v>
      </c>
      <c r="E116" s="56" t="s">
        <v>282</v>
      </c>
      <c r="F116" s="58" t="s">
        <v>283</v>
      </c>
      <c r="G116" s="59" t="s">
        <v>279</v>
      </c>
      <c r="H116" s="56" t="s">
        <v>284</v>
      </c>
      <c r="I116" s="60"/>
    </row>
    <row r="117" spans="1:9" ht="36" customHeight="1" x14ac:dyDescent="0.3">
      <c r="A117" s="61" t="s">
        <v>397</v>
      </c>
      <c r="B117" s="61" t="s">
        <v>135</v>
      </c>
      <c r="C117" s="62">
        <v>5</v>
      </c>
      <c r="D117" s="62">
        <v>100</v>
      </c>
      <c r="E117" s="61" t="s">
        <v>286</v>
      </c>
      <c r="F117" s="63" t="s">
        <v>287</v>
      </c>
      <c r="G117" s="64" t="s">
        <v>288</v>
      </c>
      <c r="H117" s="61" t="s">
        <v>289</v>
      </c>
      <c r="I117" s="65"/>
    </row>
    <row r="118" spans="1:9" ht="36" customHeight="1" x14ac:dyDescent="0.3">
      <c r="A118" s="41" t="s">
        <v>398</v>
      </c>
      <c r="B118" s="41" t="s">
        <v>137</v>
      </c>
      <c r="C118" s="42">
        <v>0</v>
      </c>
      <c r="D118" s="42">
        <v>0</v>
      </c>
      <c r="E118" s="41" t="s">
        <v>265</v>
      </c>
      <c r="F118" s="43" t="s">
        <v>266</v>
      </c>
      <c r="G118" s="42" t="s">
        <v>267</v>
      </c>
      <c r="H118" s="41" t="s">
        <v>268</v>
      </c>
      <c r="I118" s="44"/>
    </row>
    <row r="119" spans="1:9" ht="36" customHeight="1" x14ac:dyDescent="0.3">
      <c r="A119" s="41" t="s">
        <v>399</v>
      </c>
      <c r="B119" s="41" t="s">
        <v>137</v>
      </c>
      <c r="C119" s="45">
        <v>1</v>
      </c>
      <c r="D119" s="45">
        <v>20</v>
      </c>
      <c r="E119" s="41" t="s">
        <v>270</v>
      </c>
      <c r="F119" s="43" t="s">
        <v>271</v>
      </c>
      <c r="G119" s="42" t="s">
        <v>267</v>
      </c>
      <c r="H119" s="41" t="s">
        <v>272</v>
      </c>
      <c r="I119" s="44"/>
    </row>
    <row r="120" spans="1:9" ht="36" customHeight="1" x14ac:dyDescent="0.3">
      <c r="A120" s="46" t="s">
        <v>400</v>
      </c>
      <c r="B120" s="46" t="s">
        <v>137</v>
      </c>
      <c r="C120" s="47">
        <v>2</v>
      </c>
      <c r="D120" s="47">
        <v>40</v>
      </c>
      <c r="E120" s="46" t="s">
        <v>274</v>
      </c>
      <c r="F120" s="48" t="s">
        <v>275</v>
      </c>
      <c r="G120" s="49" t="s">
        <v>267</v>
      </c>
      <c r="H120" s="46" t="s">
        <v>272</v>
      </c>
      <c r="I120" s="50"/>
    </row>
    <row r="121" spans="1:9" ht="36" customHeight="1" x14ac:dyDescent="0.3">
      <c r="A121" s="51" t="s">
        <v>401</v>
      </c>
      <c r="B121" s="51" t="s">
        <v>137</v>
      </c>
      <c r="C121" s="52">
        <v>3</v>
      </c>
      <c r="D121" s="52">
        <v>60</v>
      </c>
      <c r="E121" s="51" t="s">
        <v>277</v>
      </c>
      <c r="F121" s="53" t="s">
        <v>278</v>
      </c>
      <c r="G121" s="54" t="s">
        <v>279</v>
      </c>
      <c r="H121" s="51" t="s">
        <v>280</v>
      </c>
      <c r="I121" s="55"/>
    </row>
    <row r="122" spans="1:9" ht="36" customHeight="1" x14ac:dyDescent="0.3">
      <c r="A122" s="56" t="s">
        <v>402</v>
      </c>
      <c r="B122" s="56" t="s">
        <v>137</v>
      </c>
      <c r="C122" s="57">
        <v>4</v>
      </c>
      <c r="D122" s="57">
        <v>80</v>
      </c>
      <c r="E122" s="56" t="s">
        <v>282</v>
      </c>
      <c r="F122" s="58" t="s">
        <v>283</v>
      </c>
      <c r="G122" s="59" t="s">
        <v>279</v>
      </c>
      <c r="H122" s="56" t="s">
        <v>284</v>
      </c>
      <c r="I122" s="60"/>
    </row>
    <row r="123" spans="1:9" ht="36" customHeight="1" x14ac:dyDescent="0.3">
      <c r="A123" s="61" t="s">
        <v>403</v>
      </c>
      <c r="B123" s="61" t="s">
        <v>137</v>
      </c>
      <c r="C123" s="62">
        <v>5</v>
      </c>
      <c r="D123" s="62">
        <v>100</v>
      </c>
      <c r="E123" s="61" t="s">
        <v>286</v>
      </c>
      <c r="F123" s="63" t="s">
        <v>287</v>
      </c>
      <c r="G123" s="64" t="s">
        <v>288</v>
      </c>
      <c r="H123" s="61" t="s">
        <v>289</v>
      </c>
      <c r="I123" s="65"/>
    </row>
    <row r="124" spans="1:9" ht="36" customHeight="1" x14ac:dyDescent="0.3">
      <c r="A124" s="41" t="s">
        <v>404</v>
      </c>
      <c r="B124" s="41" t="s">
        <v>139</v>
      </c>
      <c r="C124" s="42">
        <v>0</v>
      </c>
      <c r="D124" s="42">
        <v>0</v>
      </c>
      <c r="E124" s="41" t="s">
        <v>265</v>
      </c>
      <c r="F124" s="43" t="s">
        <v>266</v>
      </c>
      <c r="G124" s="42" t="s">
        <v>267</v>
      </c>
      <c r="H124" s="41" t="s">
        <v>268</v>
      </c>
      <c r="I124" s="44"/>
    </row>
    <row r="125" spans="1:9" ht="36" customHeight="1" x14ac:dyDescent="0.3">
      <c r="A125" s="41" t="s">
        <v>405</v>
      </c>
      <c r="B125" s="41" t="s">
        <v>139</v>
      </c>
      <c r="C125" s="45">
        <v>1</v>
      </c>
      <c r="D125" s="45">
        <v>20</v>
      </c>
      <c r="E125" s="41" t="s">
        <v>270</v>
      </c>
      <c r="F125" s="43" t="s">
        <v>271</v>
      </c>
      <c r="G125" s="42" t="s">
        <v>267</v>
      </c>
      <c r="H125" s="41" t="s">
        <v>272</v>
      </c>
      <c r="I125" s="44"/>
    </row>
    <row r="126" spans="1:9" ht="36" customHeight="1" x14ac:dyDescent="0.3">
      <c r="A126" s="46" t="s">
        <v>406</v>
      </c>
      <c r="B126" s="46" t="s">
        <v>139</v>
      </c>
      <c r="C126" s="47">
        <v>2</v>
      </c>
      <c r="D126" s="47">
        <v>40</v>
      </c>
      <c r="E126" s="46" t="s">
        <v>274</v>
      </c>
      <c r="F126" s="48" t="s">
        <v>275</v>
      </c>
      <c r="G126" s="49" t="s">
        <v>267</v>
      </c>
      <c r="H126" s="46" t="s">
        <v>272</v>
      </c>
      <c r="I126" s="50"/>
    </row>
    <row r="127" spans="1:9" ht="36" customHeight="1" x14ac:dyDescent="0.3">
      <c r="A127" s="51" t="s">
        <v>407</v>
      </c>
      <c r="B127" s="51" t="s">
        <v>139</v>
      </c>
      <c r="C127" s="52">
        <v>3</v>
      </c>
      <c r="D127" s="52">
        <v>60</v>
      </c>
      <c r="E127" s="51" t="s">
        <v>277</v>
      </c>
      <c r="F127" s="53" t="s">
        <v>278</v>
      </c>
      <c r="G127" s="54" t="s">
        <v>279</v>
      </c>
      <c r="H127" s="51" t="s">
        <v>280</v>
      </c>
      <c r="I127" s="55"/>
    </row>
    <row r="128" spans="1:9" ht="36" customHeight="1" x14ac:dyDescent="0.3">
      <c r="A128" s="56" t="s">
        <v>408</v>
      </c>
      <c r="B128" s="56" t="s">
        <v>139</v>
      </c>
      <c r="C128" s="57">
        <v>4</v>
      </c>
      <c r="D128" s="57">
        <v>80</v>
      </c>
      <c r="E128" s="56" t="s">
        <v>282</v>
      </c>
      <c r="F128" s="58" t="s">
        <v>283</v>
      </c>
      <c r="G128" s="59" t="s">
        <v>279</v>
      </c>
      <c r="H128" s="56" t="s">
        <v>284</v>
      </c>
      <c r="I128" s="60"/>
    </row>
    <row r="129" spans="1:9" ht="36" customHeight="1" x14ac:dyDescent="0.3">
      <c r="A129" s="61" t="s">
        <v>409</v>
      </c>
      <c r="B129" s="61" t="s">
        <v>139</v>
      </c>
      <c r="C129" s="62">
        <v>5</v>
      </c>
      <c r="D129" s="62">
        <v>100</v>
      </c>
      <c r="E129" s="61" t="s">
        <v>286</v>
      </c>
      <c r="F129" s="63" t="s">
        <v>287</v>
      </c>
      <c r="G129" s="64" t="s">
        <v>288</v>
      </c>
      <c r="H129" s="61" t="s">
        <v>289</v>
      </c>
      <c r="I129" s="65"/>
    </row>
    <row r="130" spans="1:9" ht="36" customHeight="1" x14ac:dyDescent="0.3">
      <c r="A130" s="41" t="s">
        <v>410</v>
      </c>
      <c r="B130" s="41" t="s">
        <v>141</v>
      </c>
      <c r="C130" s="42">
        <v>0</v>
      </c>
      <c r="D130" s="42">
        <v>0</v>
      </c>
      <c r="E130" s="41" t="s">
        <v>265</v>
      </c>
      <c r="F130" s="43" t="s">
        <v>266</v>
      </c>
      <c r="G130" s="42" t="s">
        <v>267</v>
      </c>
      <c r="H130" s="41" t="s">
        <v>268</v>
      </c>
      <c r="I130" s="44"/>
    </row>
    <row r="131" spans="1:9" ht="36" customHeight="1" x14ac:dyDescent="0.3">
      <c r="A131" s="41" t="s">
        <v>411</v>
      </c>
      <c r="B131" s="41" t="s">
        <v>141</v>
      </c>
      <c r="C131" s="45">
        <v>1</v>
      </c>
      <c r="D131" s="45">
        <v>20</v>
      </c>
      <c r="E131" s="41" t="s">
        <v>270</v>
      </c>
      <c r="F131" s="43" t="s">
        <v>271</v>
      </c>
      <c r="G131" s="42" t="s">
        <v>267</v>
      </c>
      <c r="H131" s="41" t="s">
        <v>272</v>
      </c>
      <c r="I131" s="44"/>
    </row>
    <row r="132" spans="1:9" ht="36" customHeight="1" x14ac:dyDescent="0.3">
      <c r="A132" s="46" t="s">
        <v>412</v>
      </c>
      <c r="B132" s="46" t="s">
        <v>141</v>
      </c>
      <c r="C132" s="47">
        <v>2</v>
      </c>
      <c r="D132" s="47">
        <v>40</v>
      </c>
      <c r="E132" s="46" t="s">
        <v>274</v>
      </c>
      <c r="F132" s="48" t="s">
        <v>275</v>
      </c>
      <c r="G132" s="49" t="s">
        <v>267</v>
      </c>
      <c r="H132" s="46" t="s">
        <v>272</v>
      </c>
      <c r="I132" s="50"/>
    </row>
    <row r="133" spans="1:9" ht="36" customHeight="1" x14ac:dyDescent="0.3">
      <c r="A133" s="51" t="s">
        <v>413</v>
      </c>
      <c r="B133" s="51" t="s">
        <v>141</v>
      </c>
      <c r="C133" s="52">
        <v>3</v>
      </c>
      <c r="D133" s="52">
        <v>60</v>
      </c>
      <c r="E133" s="51" t="s">
        <v>277</v>
      </c>
      <c r="F133" s="53" t="s">
        <v>278</v>
      </c>
      <c r="G133" s="54" t="s">
        <v>279</v>
      </c>
      <c r="H133" s="51" t="s">
        <v>280</v>
      </c>
      <c r="I133" s="55"/>
    </row>
    <row r="134" spans="1:9" ht="36" customHeight="1" x14ac:dyDescent="0.3">
      <c r="A134" s="56" t="s">
        <v>414</v>
      </c>
      <c r="B134" s="56" t="s">
        <v>141</v>
      </c>
      <c r="C134" s="57">
        <v>4</v>
      </c>
      <c r="D134" s="57">
        <v>80</v>
      </c>
      <c r="E134" s="56" t="s">
        <v>282</v>
      </c>
      <c r="F134" s="58" t="s">
        <v>283</v>
      </c>
      <c r="G134" s="59" t="s">
        <v>279</v>
      </c>
      <c r="H134" s="56" t="s">
        <v>284</v>
      </c>
      <c r="I134" s="60"/>
    </row>
    <row r="135" spans="1:9" ht="36" customHeight="1" x14ac:dyDescent="0.3">
      <c r="A135" s="61" t="s">
        <v>415</v>
      </c>
      <c r="B135" s="61" t="s">
        <v>141</v>
      </c>
      <c r="C135" s="62">
        <v>5</v>
      </c>
      <c r="D135" s="62">
        <v>100</v>
      </c>
      <c r="E135" s="61" t="s">
        <v>286</v>
      </c>
      <c r="F135" s="63" t="s">
        <v>287</v>
      </c>
      <c r="G135" s="64" t="s">
        <v>288</v>
      </c>
      <c r="H135" s="61" t="s">
        <v>289</v>
      </c>
      <c r="I135" s="65"/>
    </row>
    <row r="136" spans="1:9" ht="36" customHeight="1" x14ac:dyDescent="0.3">
      <c r="A136" s="41" t="s">
        <v>416</v>
      </c>
      <c r="B136" s="41" t="s">
        <v>143</v>
      </c>
      <c r="C136" s="42">
        <v>0</v>
      </c>
      <c r="D136" s="42">
        <v>0</v>
      </c>
      <c r="E136" s="41" t="s">
        <v>265</v>
      </c>
      <c r="F136" s="43" t="s">
        <v>266</v>
      </c>
      <c r="G136" s="42" t="s">
        <v>267</v>
      </c>
      <c r="H136" s="41" t="s">
        <v>268</v>
      </c>
      <c r="I136" s="44"/>
    </row>
    <row r="137" spans="1:9" ht="36" customHeight="1" x14ac:dyDescent="0.3">
      <c r="A137" s="41" t="s">
        <v>417</v>
      </c>
      <c r="B137" s="41" t="s">
        <v>143</v>
      </c>
      <c r="C137" s="45">
        <v>1</v>
      </c>
      <c r="D137" s="45">
        <v>20</v>
      </c>
      <c r="E137" s="41" t="s">
        <v>270</v>
      </c>
      <c r="F137" s="43" t="s">
        <v>271</v>
      </c>
      <c r="G137" s="42" t="s">
        <v>267</v>
      </c>
      <c r="H137" s="41" t="s">
        <v>272</v>
      </c>
      <c r="I137" s="44"/>
    </row>
    <row r="138" spans="1:9" ht="36" customHeight="1" x14ac:dyDescent="0.3">
      <c r="A138" s="46" t="s">
        <v>418</v>
      </c>
      <c r="B138" s="46" t="s">
        <v>143</v>
      </c>
      <c r="C138" s="47">
        <v>2</v>
      </c>
      <c r="D138" s="47">
        <v>40</v>
      </c>
      <c r="E138" s="46" t="s">
        <v>274</v>
      </c>
      <c r="F138" s="48" t="s">
        <v>275</v>
      </c>
      <c r="G138" s="49" t="s">
        <v>267</v>
      </c>
      <c r="H138" s="46" t="s">
        <v>272</v>
      </c>
      <c r="I138" s="50"/>
    </row>
    <row r="139" spans="1:9" ht="36" customHeight="1" x14ac:dyDescent="0.3">
      <c r="A139" s="51" t="s">
        <v>419</v>
      </c>
      <c r="B139" s="51" t="s">
        <v>143</v>
      </c>
      <c r="C139" s="52">
        <v>3</v>
      </c>
      <c r="D139" s="52">
        <v>60</v>
      </c>
      <c r="E139" s="51" t="s">
        <v>277</v>
      </c>
      <c r="F139" s="53" t="s">
        <v>278</v>
      </c>
      <c r="G139" s="54" t="s">
        <v>279</v>
      </c>
      <c r="H139" s="51" t="s">
        <v>280</v>
      </c>
      <c r="I139" s="55"/>
    </row>
    <row r="140" spans="1:9" ht="36" customHeight="1" x14ac:dyDescent="0.3">
      <c r="A140" s="56" t="s">
        <v>420</v>
      </c>
      <c r="B140" s="56" t="s">
        <v>143</v>
      </c>
      <c r="C140" s="57">
        <v>4</v>
      </c>
      <c r="D140" s="57">
        <v>80</v>
      </c>
      <c r="E140" s="56" t="s">
        <v>282</v>
      </c>
      <c r="F140" s="58" t="s">
        <v>283</v>
      </c>
      <c r="G140" s="59" t="s">
        <v>279</v>
      </c>
      <c r="H140" s="56" t="s">
        <v>284</v>
      </c>
      <c r="I140" s="60"/>
    </row>
    <row r="141" spans="1:9" ht="36" customHeight="1" x14ac:dyDescent="0.3">
      <c r="A141" s="61" t="s">
        <v>421</v>
      </c>
      <c r="B141" s="61" t="s">
        <v>143</v>
      </c>
      <c r="C141" s="62">
        <v>5</v>
      </c>
      <c r="D141" s="62">
        <v>100</v>
      </c>
      <c r="E141" s="61" t="s">
        <v>286</v>
      </c>
      <c r="F141" s="63" t="s">
        <v>287</v>
      </c>
      <c r="G141" s="64" t="s">
        <v>288</v>
      </c>
      <c r="H141" s="61" t="s">
        <v>289</v>
      </c>
      <c r="I141" s="65"/>
    </row>
    <row r="142" spans="1:9" ht="36" customHeight="1" x14ac:dyDescent="0.3">
      <c r="A142" s="41" t="s">
        <v>422</v>
      </c>
      <c r="B142" s="41" t="s">
        <v>145</v>
      </c>
      <c r="C142" s="42">
        <v>0</v>
      </c>
      <c r="D142" s="42">
        <v>0</v>
      </c>
      <c r="E142" s="41" t="s">
        <v>265</v>
      </c>
      <c r="F142" s="43" t="s">
        <v>266</v>
      </c>
      <c r="G142" s="42" t="s">
        <v>267</v>
      </c>
      <c r="H142" s="41" t="s">
        <v>268</v>
      </c>
      <c r="I142" s="44"/>
    </row>
    <row r="143" spans="1:9" ht="36" customHeight="1" x14ac:dyDescent="0.3">
      <c r="A143" s="41" t="s">
        <v>423</v>
      </c>
      <c r="B143" s="41" t="s">
        <v>145</v>
      </c>
      <c r="C143" s="45">
        <v>1</v>
      </c>
      <c r="D143" s="45">
        <v>20</v>
      </c>
      <c r="E143" s="41" t="s">
        <v>270</v>
      </c>
      <c r="F143" s="43" t="s">
        <v>271</v>
      </c>
      <c r="G143" s="42" t="s">
        <v>267</v>
      </c>
      <c r="H143" s="41" t="s">
        <v>272</v>
      </c>
      <c r="I143" s="44"/>
    </row>
    <row r="144" spans="1:9" ht="36" customHeight="1" x14ac:dyDescent="0.3">
      <c r="A144" s="46" t="s">
        <v>424</v>
      </c>
      <c r="B144" s="46" t="s">
        <v>145</v>
      </c>
      <c r="C144" s="47">
        <v>2</v>
      </c>
      <c r="D144" s="47">
        <v>40</v>
      </c>
      <c r="E144" s="46" t="s">
        <v>274</v>
      </c>
      <c r="F144" s="48" t="s">
        <v>275</v>
      </c>
      <c r="G144" s="49" t="s">
        <v>267</v>
      </c>
      <c r="H144" s="46" t="s">
        <v>272</v>
      </c>
      <c r="I144" s="50"/>
    </row>
    <row r="145" spans="1:9" ht="36" customHeight="1" x14ac:dyDescent="0.3">
      <c r="A145" s="51" t="s">
        <v>425</v>
      </c>
      <c r="B145" s="51" t="s">
        <v>145</v>
      </c>
      <c r="C145" s="52">
        <v>3</v>
      </c>
      <c r="D145" s="52">
        <v>60</v>
      </c>
      <c r="E145" s="51" t="s">
        <v>277</v>
      </c>
      <c r="F145" s="53" t="s">
        <v>278</v>
      </c>
      <c r="G145" s="54" t="s">
        <v>279</v>
      </c>
      <c r="H145" s="51" t="s">
        <v>280</v>
      </c>
      <c r="I145" s="55"/>
    </row>
    <row r="146" spans="1:9" ht="36" customHeight="1" x14ac:dyDescent="0.3">
      <c r="A146" s="56" t="s">
        <v>426</v>
      </c>
      <c r="B146" s="56" t="s">
        <v>145</v>
      </c>
      <c r="C146" s="57">
        <v>4</v>
      </c>
      <c r="D146" s="57">
        <v>80</v>
      </c>
      <c r="E146" s="56" t="s">
        <v>282</v>
      </c>
      <c r="F146" s="58" t="s">
        <v>283</v>
      </c>
      <c r="G146" s="59" t="s">
        <v>279</v>
      </c>
      <c r="H146" s="56" t="s">
        <v>284</v>
      </c>
      <c r="I146" s="60"/>
    </row>
    <row r="147" spans="1:9" ht="36" customHeight="1" x14ac:dyDescent="0.3">
      <c r="A147" s="61" t="s">
        <v>427</v>
      </c>
      <c r="B147" s="61" t="s">
        <v>145</v>
      </c>
      <c r="C147" s="62">
        <v>5</v>
      </c>
      <c r="D147" s="62">
        <v>100</v>
      </c>
      <c r="E147" s="61" t="s">
        <v>286</v>
      </c>
      <c r="F147" s="63" t="s">
        <v>287</v>
      </c>
      <c r="G147" s="64" t="s">
        <v>288</v>
      </c>
      <c r="H147" s="61" t="s">
        <v>289</v>
      </c>
      <c r="I147" s="65"/>
    </row>
    <row r="148" spans="1:9" ht="36" customHeight="1" x14ac:dyDescent="0.3">
      <c r="A148" s="41" t="s">
        <v>428</v>
      </c>
      <c r="B148" s="41" t="s">
        <v>147</v>
      </c>
      <c r="C148" s="42">
        <v>0</v>
      </c>
      <c r="D148" s="42">
        <v>0</v>
      </c>
      <c r="E148" s="41" t="s">
        <v>265</v>
      </c>
      <c r="F148" s="43" t="s">
        <v>266</v>
      </c>
      <c r="G148" s="42" t="s">
        <v>267</v>
      </c>
      <c r="H148" s="41" t="s">
        <v>268</v>
      </c>
      <c r="I148" s="44"/>
    </row>
    <row r="149" spans="1:9" ht="36" customHeight="1" x14ac:dyDescent="0.3">
      <c r="A149" s="41" t="s">
        <v>429</v>
      </c>
      <c r="B149" s="41" t="s">
        <v>147</v>
      </c>
      <c r="C149" s="45">
        <v>1</v>
      </c>
      <c r="D149" s="45">
        <v>20</v>
      </c>
      <c r="E149" s="41" t="s">
        <v>270</v>
      </c>
      <c r="F149" s="43" t="s">
        <v>271</v>
      </c>
      <c r="G149" s="42" t="s">
        <v>267</v>
      </c>
      <c r="H149" s="41" t="s">
        <v>272</v>
      </c>
      <c r="I149" s="44"/>
    </row>
    <row r="150" spans="1:9" ht="36" customHeight="1" x14ac:dyDescent="0.3">
      <c r="A150" s="46" t="s">
        <v>430</v>
      </c>
      <c r="B150" s="46" t="s">
        <v>147</v>
      </c>
      <c r="C150" s="47">
        <v>2</v>
      </c>
      <c r="D150" s="47">
        <v>40</v>
      </c>
      <c r="E150" s="46" t="s">
        <v>274</v>
      </c>
      <c r="F150" s="48" t="s">
        <v>275</v>
      </c>
      <c r="G150" s="49" t="s">
        <v>267</v>
      </c>
      <c r="H150" s="46" t="s">
        <v>272</v>
      </c>
      <c r="I150" s="50"/>
    </row>
    <row r="151" spans="1:9" ht="36" customHeight="1" x14ac:dyDescent="0.3">
      <c r="A151" s="51" t="s">
        <v>431</v>
      </c>
      <c r="B151" s="51" t="s">
        <v>147</v>
      </c>
      <c r="C151" s="52">
        <v>3</v>
      </c>
      <c r="D151" s="52">
        <v>60</v>
      </c>
      <c r="E151" s="51" t="s">
        <v>277</v>
      </c>
      <c r="F151" s="53" t="s">
        <v>278</v>
      </c>
      <c r="G151" s="54" t="s">
        <v>279</v>
      </c>
      <c r="H151" s="51" t="s">
        <v>280</v>
      </c>
      <c r="I151" s="55"/>
    </row>
    <row r="152" spans="1:9" ht="36" customHeight="1" x14ac:dyDescent="0.3">
      <c r="A152" s="56" t="s">
        <v>432</v>
      </c>
      <c r="B152" s="56" t="s">
        <v>147</v>
      </c>
      <c r="C152" s="57">
        <v>4</v>
      </c>
      <c r="D152" s="57">
        <v>80</v>
      </c>
      <c r="E152" s="56" t="s">
        <v>282</v>
      </c>
      <c r="F152" s="58" t="s">
        <v>283</v>
      </c>
      <c r="G152" s="59" t="s">
        <v>279</v>
      </c>
      <c r="H152" s="56" t="s">
        <v>284</v>
      </c>
      <c r="I152" s="60"/>
    </row>
    <row r="153" spans="1:9" ht="36" customHeight="1" x14ac:dyDescent="0.3">
      <c r="A153" s="61" t="s">
        <v>433</v>
      </c>
      <c r="B153" s="61" t="s">
        <v>147</v>
      </c>
      <c r="C153" s="62">
        <v>5</v>
      </c>
      <c r="D153" s="62">
        <v>100</v>
      </c>
      <c r="E153" s="61" t="s">
        <v>286</v>
      </c>
      <c r="F153" s="63" t="s">
        <v>287</v>
      </c>
      <c r="G153" s="64" t="s">
        <v>288</v>
      </c>
      <c r="H153" s="61" t="s">
        <v>289</v>
      </c>
      <c r="I153" s="65"/>
    </row>
    <row r="154" spans="1:9" ht="36" customHeight="1" x14ac:dyDescent="0.3">
      <c r="A154" s="41" t="s">
        <v>434</v>
      </c>
      <c r="B154" s="41" t="s">
        <v>149</v>
      </c>
      <c r="C154" s="42">
        <v>0</v>
      </c>
      <c r="D154" s="42">
        <v>0</v>
      </c>
      <c r="E154" s="41" t="s">
        <v>265</v>
      </c>
      <c r="F154" s="43" t="s">
        <v>266</v>
      </c>
      <c r="G154" s="42" t="s">
        <v>267</v>
      </c>
      <c r="H154" s="41" t="s">
        <v>268</v>
      </c>
      <c r="I154" s="44"/>
    </row>
    <row r="155" spans="1:9" ht="36" customHeight="1" x14ac:dyDescent="0.3">
      <c r="A155" s="41" t="s">
        <v>435</v>
      </c>
      <c r="B155" s="41" t="s">
        <v>149</v>
      </c>
      <c r="C155" s="45">
        <v>1</v>
      </c>
      <c r="D155" s="45">
        <v>20</v>
      </c>
      <c r="E155" s="41" t="s">
        <v>270</v>
      </c>
      <c r="F155" s="43" t="s">
        <v>271</v>
      </c>
      <c r="G155" s="42" t="s">
        <v>267</v>
      </c>
      <c r="H155" s="41" t="s">
        <v>272</v>
      </c>
      <c r="I155" s="44"/>
    </row>
    <row r="156" spans="1:9" ht="36" customHeight="1" x14ac:dyDescent="0.3">
      <c r="A156" s="46" t="s">
        <v>436</v>
      </c>
      <c r="B156" s="46" t="s">
        <v>149</v>
      </c>
      <c r="C156" s="47">
        <v>2</v>
      </c>
      <c r="D156" s="47">
        <v>40</v>
      </c>
      <c r="E156" s="46" t="s">
        <v>274</v>
      </c>
      <c r="F156" s="48" t="s">
        <v>275</v>
      </c>
      <c r="G156" s="49" t="s">
        <v>267</v>
      </c>
      <c r="H156" s="46" t="s">
        <v>272</v>
      </c>
      <c r="I156" s="50"/>
    </row>
    <row r="157" spans="1:9" ht="36" customHeight="1" x14ac:dyDescent="0.3">
      <c r="A157" s="51" t="s">
        <v>437</v>
      </c>
      <c r="B157" s="51" t="s">
        <v>149</v>
      </c>
      <c r="C157" s="52">
        <v>3</v>
      </c>
      <c r="D157" s="52">
        <v>60</v>
      </c>
      <c r="E157" s="51" t="s">
        <v>277</v>
      </c>
      <c r="F157" s="53" t="s">
        <v>278</v>
      </c>
      <c r="G157" s="54" t="s">
        <v>279</v>
      </c>
      <c r="H157" s="51" t="s">
        <v>280</v>
      </c>
      <c r="I157" s="55"/>
    </row>
    <row r="158" spans="1:9" ht="36" customHeight="1" x14ac:dyDescent="0.3">
      <c r="A158" s="56" t="s">
        <v>438</v>
      </c>
      <c r="B158" s="56" t="s">
        <v>149</v>
      </c>
      <c r="C158" s="57">
        <v>4</v>
      </c>
      <c r="D158" s="57">
        <v>80</v>
      </c>
      <c r="E158" s="56" t="s">
        <v>282</v>
      </c>
      <c r="F158" s="58" t="s">
        <v>283</v>
      </c>
      <c r="G158" s="59" t="s">
        <v>279</v>
      </c>
      <c r="H158" s="56" t="s">
        <v>284</v>
      </c>
      <c r="I158" s="60"/>
    </row>
    <row r="159" spans="1:9" ht="36" customHeight="1" x14ac:dyDescent="0.3">
      <c r="A159" s="61" t="s">
        <v>439</v>
      </c>
      <c r="B159" s="61" t="s">
        <v>149</v>
      </c>
      <c r="C159" s="62">
        <v>5</v>
      </c>
      <c r="D159" s="62">
        <v>100</v>
      </c>
      <c r="E159" s="61" t="s">
        <v>286</v>
      </c>
      <c r="F159" s="63" t="s">
        <v>287</v>
      </c>
      <c r="G159" s="64" t="s">
        <v>288</v>
      </c>
      <c r="H159" s="61" t="s">
        <v>289</v>
      </c>
      <c r="I159" s="65"/>
    </row>
    <row r="160" spans="1:9" ht="36" customHeight="1" x14ac:dyDescent="0.3">
      <c r="A160" s="41" t="s">
        <v>440</v>
      </c>
      <c r="B160" s="41" t="s">
        <v>151</v>
      </c>
      <c r="C160" s="42">
        <v>0</v>
      </c>
      <c r="D160" s="42">
        <v>0</v>
      </c>
      <c r="E160" s="41" t="s">
        <v>265</v>
      </c>
      <c r="F160" s="43" t="s">
        <v>266</v>
      </c>
      <c r="G160" s="42" t="s">
        <v>267</v>
      </c>
      <c r="H160" s="41" t="s">
        <v>268</v>
      </c>
      <c r="I160" s="44"/>
    </row>
    <row r="161" spans="1:9" ht="36" customHeight="1" x14ac:dyDescent="0.3">
      <c r="A161" s="41" t="s">
        <v>441</v>
      </c>
      <c r="B161" s="41" t="s">
        <v>151</v>
      </c>
      <c r="C161" s="45">
        <v>1</v>
      </c>
      <c r="D161" s="45">
        <v>20</v>
      </c>
      <c r="E161" s="41" t="s">
        <v>270</v>
      </c>
      <c r="F161" s="43" t="s">
        <v>271</v>
      </c>
      <c r="G161" s="42" t="s">
        <v>267</v>
      </c>
      <c r="H161" s="41" t="s">
        <v>272</v>
      </c>
      <c r="I161" s="44"/>
    </row>
    <row r="162" spans="1:9" ht="36" customHeight="1" x14ac:dyDescent="0.3">
      <c r="A162" s="46" t="s">
        <v>442</v>
      </c>
      <c r="B162" s="46" t="s">
        <v>151</v>
      </c>
      <c r="C162" s="47">
        <v>2</v>
      </c>
      <c r="D162" s="47">
        <v>40</v>
      </c>
      <c r="E162" s="46" t="s">
        <v>274</v>
      </c>
      <c r="F162" s="48" t="s">
        <v>275</v>
      </c>
      <c r="G162" s="49" t="s">
        <v>267</v>
      </c>
      <c r="H162" s="46" t="s">
        <v>272</v>
      </c>
      <c r="I162" s="50"/>
    </row>
    <row r="163" spans="1:9" ht="36" customHeight="1" x14ac:dyDescent="0.3">
      <c r="A163" s="51" t="s">
        <v>443</v>
      </c>
      <c r="B163" s="51" t="s">
        <v>151</v>
      </c>
      <c r="C163" s="52">
        <v>3</v>
      </c>
      <c r="D163" s="52">
        <v>60</v>
      </c>
      <c r="E163" s="51" t="s">
        <v>277</v>
      </c>
      <c r="F163" s="53" t="s">
        <v>278</v>
      </c>
      <c r="G163" s="54" t="s">
        <v>279</v>
      </c>
      <c r="H163" s="51" t="s">
        <v>280</v>
      </c>
      <c r="I163" s="55"/>
    </row>
    <row r="164" spans="1:9" ht="36" customHeight="1" x14ac:dyDescent="0.3">
      <c r="A164" s="56" t="s">
        <v>444</v>
      </c>
      <c r="B164" s="56" t="s">
        <v>151</v>
      </c>
      <c r="C164" s="57">
        <v>4</v>
      </c>
      <c r="D164" s="57">
        <v>80</v>
      </c>
      <c r="E164" s="56" t="s">
        <v>282</v>
      </c>
      <c r="F164" s="58" t="s">
        <v>283</v>
      </c>
      <c r="G164" s="59" t="s">
        <v>279</v>
      </c>
      <c r="H164" s="56" t="s">
        <v>284</v>
      </c>
      <c r="I164" s="60"/>
    </row>
    <row r="165" spans="1:9" ht="36" customHeight="1" x14ac:dyDescent="0.3">
      <c r="A165" s="61" t="s">
        <v>445</v>
      </c>
      <c r="B165" s="61" t="s">
        <v>151</v>
      </c>
      <c r="C165" s="62">
        <v>5</v>
      </c>
      <c r="D165" s="62">
        <v>100</v>
      </c>
      <c r="E165" s="61" t="s">
        <v>286</v>
      </c>
      <c r="F165" s="63" t="s">
        <v>287</v>
      </c>
      <c r="G165" s="64" t="s">
        <v>288</v>
      </c>
      <c r="H165" s="61" t="s">
        <v>289</v>
      </c>
      <c r="I165" s="65"/>
    </row>
    <row r="166" spans="1:9" ht="36" customHeight="1" x14ac:dyDescent="0.3">
      <c r="A166" s="41" t="s">
        <v>446</v>
      </c>
      <c r="B166" s="41" t="s">
        <v>152</v>
      </c>
      <c r="C166" s="42">
        <v>0</v>
      </c>
      <c r="D166" s="42">
        <v>0</v>
      </c>
      <c r="E166" s="41" t="s">
        <v>265</v>
      </c>
      <c r="F166" s="43" t="s">
        <v>266</v>
      </c>
      <c r="G166" s="42" t="s">
        <v>267</v>
      </c>
      <c r="H166" s="41" t="s">
        <v>268</v>
      </c>
      <c r="I166" s="44"/>
    </row>
    <row r="167" spans="1:9" ht="36" customHeight="1" x14ac:dyDescent="0.3">
      <c r="A167" s="41" t="s">
        <v>447</v>
      </c>
      <c r="B167" s="41" t="s">
        <v>152</v>
      </c>
      <c r="C167" s="45">
        <v>1</v>
      </c>
      <c r="D167" s="45">
        <v>20</v>
      </c>
      <c r="E167" s="41" t="s">
        <v>270</v>
      </c>
      <c r="F167" s="43" t="s">
        <v>271</v>
      </c>
      <c r="G167" s="42" t="s">
        <v>267</v>
      </c>
      <c r="H167" s="41" t="s">
        <v>272</v>
      </c>
      <c r="I167" s="44"/>
    </row>
    <row r="168" spans="1:9" ht="36" customHeight="1" x14ac:dyDescent="0.3">
      <c r="A168" s="46" t="s">
        <v>448</v>
      </c>
      <c r="B168" s="46" t="s">
        <v>152</v>
      </c>
      <c r="C168" s="47">
        <v>2</v>
      </c>
      <c r="D168" s="47">
        <v>40</v>
      </c>
      <c r="E168" s="46" t="s">
        <v>274</v>
      </c>
      <c r="F168" s="48" t="s">
        <v>275</v>
      </c>
      <c r="G168" s="49" t="s">
        <v>267</v>
      </c>
      <c r="H168" s="46" t="s">
        <v>272</v>
      </c>
      <c r="I168" s="50"/>
    </row>
    <row r="169" spans="1:9" ht="36" customHeight="1" x14ac:dyDescent="0.3">
      <c r="A169" s="51" t="s">
        <v>449</v>
      </c>
      <c r="B169" s="51" t="s">
        <v>152</v>
      </c>
      <c r="C169" s="52">
        <v>3</v>
      </c>
      <c r="D169" s="52">
        <v>60</v>
      </c>
      <c r="E169" s="51" t="s">
        <v>277</v>
      </c>
      <c r="F169" s="53" t="s">
        <v>278</v>
      </c>
      <c r="G169" s="54" t="s">
        <v>279</v>
      </c>
      <c r="H169" s="51" t="s">
        <v>280</v>
      </c>
      <c r="I169" s="55"/>
    </row>
    <row r="170" spans="1:9" ht="36" customHeight="1" x14ac:dyDescent="0.3">
      <c r="A170" s="56" t="s">
        <v>450</v>
      </c>
      <c r="B170" s="56" t="s">
        <v>152</v>
      </c>
      <c r="C170" s="57">
        <v>4</v>
      </c>
      <c r="D170" s="57">
        <v>80</v>
      </c>
      <c r="E170" s="56" t="s">
        <v>282</v>
      </c>
      <c r="F170" s="58" t="s">
        <v>283</v>
      </c>
      <c r="G170" s="59" t="s">
        <v>279</v>
      </c>
      <c r="H170" s="56" t="s">
        <v>284</v>
      </c>
      <c r="I170" s="60"/>
    </row>
    <row r="171" spans="1:9" ht="36" customHeight="1" x14ac:dyDescent="0.3">
      <c r="A171" s="61" t="s">
        <v>451</v>
      </c>
      <c r="B171" s="61" t="s">
        <v>152</v>
      </c>
      <c r="C171" s="62">
        <v>5</v>
      </c>
      <c r="D171" s="62">
        <v>100</v>
      </c>
      <c r="E171" s="61" t="s">
        <v>286</v>
      </c>
      <c r="F171" s="63" t="s">
        <v>287</v>
      </c>
      <c r="G171" s="64" t="s">
        <v>288</v>
      </c>
      <c r="H171" s="61" t="s">
        <v>289</v>
      </c>
      <c r="I171" s="65"/>
    </row>
    <row r="172" spans="1:9" ht="36" customHeight="1" x14ac:dyDescent="0.3">
      <c r="A172" s="41" t="s">
        <v>452</v>
      </c>
      <c r="B172" s="41" t="s">
        <v>154</v>
      </c>
      <c r="C172" s="42">
        <v>0</v>
      </c>
      <c r="D172" s="42">
        <v>0</v>
      </c>
      <c r="E172" s="41" t="s">
        <v>265</v>
      </c>
      <c r="F172" s="43" t="s">
        <v>266</v>
      </c>
      <c r="G172" s="42" t="s">
        <v>267</v>
      </c>
      <c r="H172" s="41" t="s">
        <v>268</v>
      </c>
      <c r="I172" s="44"/>
    </row>
    <row r="173" spans="1:9" ht="36" customHeight="1" x14ac:dyDescent="0.3">
      <c r="A173" s="41" t="s">
        <v>453</v>
      </c>
      <c r="B173" s="41" t="s">
        <v>154</v>
      </c>
      <c r="C173" s="45">
        <v>1</v>
      </c>
      <c r="D173" s="45">
        <v>20</v>
      </c>
      <c r="E173" s="41" t="s">
        <v>270</v>
      </c>
      <c r="F173" s="43" t="s">
        <v>271</v>
      </c>
      <c r="G173" s="42" t="s">
        <v>267</v>
      </c>
      <c r="H173" s="41" t="s">
        <v>272</v>
      </c>
      <c r="I173" s="44"/>
    </row>
    <row r="174" spans="1:9" ht="36" customHeight="1" x14ac:dyDescent="0.3">
      <c r="A174" s="46" t="s">
        <v>454</v>
      </c>
      <c r="B174" s="46" t="s">
        <v>154</v>
      </c>
      <c r="C174" s="47">
        <v>2</v>
      </c>
      <c r="D174" s="47">
        <v>40</v>
      </c>
      <c r="E174" s="46" t="s">
        <v>274</v>
      </c>
      <c r="F174" s="48" t="s">
        <v>275</v>
      </c>
      <c r="G174" s="49" t="s">
        <v>267</v>
      </c>
      <c r="H174" s="46" t="s">
        <v>272</v>
      </c>
      <c r="I174" s="50"/>
    </row>
    <row r="175" spans="1:9" ht="36" customHeight="1" x14ac:dyDescent="0.3">
      <c r="A175" s="51" t="s">
        <v>455</v>
      </c>
      <c r="B175" s="51" t="s">
        <v>154</v>
      </c>
      <c r="C175" s="52">
        <v>3</v>
      </c>
      <c r="D175" s="52">
        <v>60</v>
      </c>
      <c r="E175" s="51" t="s">
        <v>277</v>
      </c>
      <c r="F175" s="53" t="s">
        <v>278</v>
      </c>
      <c r="G175" s="54" t="s">
        <v>279</v>
      </c>
      <c r="H175" s="51" t="s">
        <v>280</v>
      </c>
      <c r="I175" s="55"/>
    </row>
    <row r="176" spans="1:9" ht="36" customHeight="1" x14ac:dyDescent="0.3">
      <c r="A176" s="56" t="s">
        <v>456</v>
      </c>
      <c r="B176" s="56" t="s">
        <v>154</v>
      </c>
      <c r="C176" s="57">
        <v>4</v>
      </c>
      <c r="D176" s="57">
        <v>80</v>
      </c>
      <c r="E176" s="56" t="s">
        <v>282</v>
      </c>
      <c r="F176" s="58" t="s">
        <v>283</v>
      </c>
      <c r="G176" s="59" t="s">
        <v>279</v>
      </c>
      <c r="H176" s="56" t="s">
        <v>284</v>
      </c>
      <c r="I176" s="60"/>
    </row>
    <row r="177" spans="1:9" ht="36" customHeight="1" x14ac:dyDescent="0.3">
      <c r="A177" s="61" t="s">
        <v>457</v>
      </c>
      <c r="B177" s="61" t="s">
        <v>154</v>
      </c>
      <c r="C177" s="62">
        <v>5</v>
      </c>
      <c r="D177" s="62">
        <v>100</v>
      </c>
      <c r="E177" s="61" t="s">
        <v>286</v>
      </c>
      <c r="F177" s="63" t="s">
        <v>287</v>
      </c>
      <c r="G177" s="64" t="s">
        <v>288</v>
      </c>
      <c r="H177" s="61" t="s">
        <v>289</v>
      </c>
      <c r="I177" s="65"/>
    </row>
    <row r="178" spans="1:9" ht="36" customHeight="1" x14ac:dyDescent="0.3">
      <c r="A178" s="41" t="s">
        <v>458</v>
      </c>
      <c r="B178" s="41" t="s">
        <v>156</v>
      </c>
      <c r="C178" s="42">
        <v>0</v>
      </c>
      <c r="D178" s="42">
        <v>0</v>
      </c>
      <c r="E178" s="41" t="s">
        <v>265</v>
      </c>
      <c r="F178" s="43" t="s">
        <v>266</v>
      </c>
      <c r="G178" s="42" t="s">
        <v>267</v>
      </c>
      <c r="H178" s="41" t="s">
        <v>268</v>
      </c>
      <c r="I178" s="44"/>
    </row>
    <row r="179" spans="1:9" ht="36" customHeight="1" x14ac:dyDescent="0.3">
      <c r="A179" s="41" t="s">
        <v>459</v>
      </c>
      <c r="B179" s="41" t="s">
        <v>156</v>
      </c>
      <c r="C179" s="45">
        <v>1</v>
      </c>
      <c r="D179" s="45">
        <v>20</v>
      </c>
      <c r="E179" s="41" t="s">
        <v>270</v>
      </c>
      <c r="F179" s="43" t="s">
        <v>271</v>
      </c>
      <c r="G179" s="42" t="s">
        <v>267</v>
      </c>
      <c r="H179" s="41" t="s">
        <v>272</v>
      </c>
      <c r="I179" s="44"/>
    </row>
    <row r="180" spans="1:9" ht="36" customHeight="1" x14ac:dyDescent="0.3">
      <c r="A180" s="46" t="s">
        <v>460</v>
      </c>
      <c r="B180" s="46" t="s">
        <v>156</v>
      </c>
      <c r="C180" s="47">
        <v>2</v>
      </c>
      <c r="D180" s="47">
        <v>40</v>
      </c>
      <c r="E180" s="46" t="s">
        <v>274</v>
      </c>
      <c r="F180" s="48" t="s">
        <v>275</v>
      </c>
      <c r="G180" s="49" t="s">
        <v>267</v>
      </c>
      <c r="H180" s="46" t="s">
        <v>272</v>
      </c>
      <c r="I180" s="50"/>
    </row>
    <row r="181" spans="1:9" ht="36" customHeight="1" x14ac:dyDescent="0.3">
      <c r="A181" s="51" t="s">
        <v>461</v>
      </c>
      <c r="B181" s="51" t="s">
        <v>156</v>
      </c>
      <c r="C181" s="52">
        <v>3</v>
      </c>
      <c r="D181" s="52">
        <v>60</v>
      </c>
      <c r="E181" s="51" t="s">
        <v>277</v>
      </c>
      <c r="F181" s="53" t="s">
        <v>278</v>
      </c>
      <c r="G181" s="54" t="s">
        <v>279</v>
      </c>
      <c r="H181" s="51" t="s">
        <v>280</v>
      </c>
      <c r="I181" s="55"/>
    </row>
    <row r="182" spans="1:9" ht="36" customHeight="1" x14ac:dyDescent="0.3">
      <c r="A182" s="56" t="s">
        <v>462</v>
      </c>
      <c r="B182" s="56" t="s">
        <v>156</v>
      </c>
      <c r="C182" s="57">
        <v>4</v>
      </c>
      <c r="D182" s="57">
        <v>80</v>
      </c>
      <c r="E182" s="56" t="s">
        <v>282</v>
      </c>
      <c r="F182" s="58" t="s">
        <v>283</v>
      </c>
      <c r="G182" s="59" t="s">
        <v>279</v>
      </c>
      <c r="H182" s="56" t="s">
        <v>284</v>
      </c>
      <c r="I182" s="60"/>
    </row>
    <row r="183" spans="1:9" ht="36" customHeight="1" x14ac:dyDescent="0.3">
      <c r="A183" s="61" t="s">
        <v>463</v>
      </c>
      <c r="B183" s="61" t="s">
        <v>156</v>
      </c>
      <c r="C183" s="62">
        <v>5</v>
      </c>
      <c r="D183" s="62">
        <v>100</v>
      </c>
      <c r="E183" s="61" t="s">
        <v>286</v>
      </c>
      <c r="F183" s="63" t="s">
        <v>287</v>
      </c>
      <c r="G183" s="64" t="s">
        <v>288</v>
      </c>
      <c r="H183" s="61" t="s">
        <v>289</v>
      </c>
      <c r="I183" s="65"/>
    </row>
    <row r="184" spans="1:9" ht="36" customHeight="1" x14ac:dyDescent="0.3">
      <c r="A184" s="41" t="s">
        <v>464</v>
      </c>
      <c r="B184" s="41" t="s">
        <v>158</v>
      </c>
      <c r="C184" s="42">
        <v>0</v>
      </c>
      <c r="D184" s="42">
        <v>0</v>
      </c>
      <c r="E184" s="41" t="s">
        <v>265</v>
      </c>
      <c r="F184" s="43" t="s">
        <v>266</v>
      </c>
      <c r="G184" s="42" t="s">
        <v>267</v>
      </c>
      <c r="H184" s="41" t="s">
        <v>268</v>
      </c>
      <c r="I184" s="44"/>
    </row>
    <row r="185" spans="1:9" ht="36" customHeight="1" x14ac:dyDescent="0.3">
      <c r="A185" s="41" t="s">
        <v>465</v>
      </c>
      <c r="B185" s="41" t="s">
        <v>158</v>
      </c>
      <c r="C185" s="45">
        <v>1</v>
      </c>
      <c r="D185" s="45">
        <v>20</v>
      </c>
      <c r="E185" s="41" t="s">
        <v>270</v>
      </c>
      <c r="F185" s="43" t="s">
        <v>271</v>
      </c>
      <c r="G185" s="42" t="s">
        <v>267</v>
      </c>
      <c r="H185" s="41" t="s">
        <v>272</v>
      </c>
      <c r="I185" s="44"/>
    </row>
    <row r="186" spans="1:9" ht="36" customHeight="1" x14ac:dyDescent="0.3">
      <c r="A186" s="46" t="s">
        <v>466</v>
      </c>
      <c r="B186" s="46" t="s">
        <v>158</v>
      </c>
      <c r="C186" s="47">
        <v>2</v>
      </c>
      <c r="D186" s="47">
        <v>40</v>
      </c>
      <c r="E186" s="46" t="s">
        <v>274</v>
      </c>
      <c r="F186" s="48" t="s">
        <v>275</v>
      </c>
      <c r="G186" s="49" t="s">
        <v>267</v>
      </c>
      <c r="H186" s="46" t="s">
        <v>272</v>
      </c>
      <c r="I186" s="50"/>
    </row>
    <row r="187" spans="1:9" ht="36" customHeight="1" x14ac:dyDescent="0.3">
      <c r="A187" s="51" t="s">
        <v>467</v>
      </c>
      <c r="B187" s="51" t="s">
        <v>158</v>
      </c>
      <c r="C187" s="52">
        <v>3</v>
      </c>
      <c r="D187" s="52">
        <v>60</v>
      </c>
      <c r="E187" s="51" t="s">
        <v>277</v>
      </c>
      <c r="F187" s="53" t="s">
        <v>278</v>
      </c>
      <c r="G187" s="54" t="s">
        <v>279</v>
      </c>
      <c r="H187" s="51" t="s">
        <v>280</v>
      </c>
      <c r="I187" s="55"/>
    </row>
    <row r="188" spans="1:9" ht="36" customHeight="1" x14ac:dyDescent="0.3">
      <c r="A188" s="56" t="s">
        <v>468</v>
      </c>
      <c r="B188" s="56" t="s">
        <v>158</v>
      </c>
      <c r="C188" s="57">
        <v>4</v>
      </c>
      <c r="D188" s="57">
        <v>80</v>
      </c>
      <c r="E188" s="56" t="s">
        <v>282</v>
      </c>
      <c r="F188" s="58" t="s">
        <v>283</v>
      </c>
      <c r="G188" s="59" t="s">
        <v>279</v>
      </c>
      <c r="H188" s="56" t="s">
        <v>284</v>
      </c>
      <c r="I188" s="60"/>
    </row>
    <row r="189" spans="1:9" ht="36" customHeight="1" x14ac:dyDescent="0.3">
      <c r="A189" s="61" t="s">
        <v>469</v>
      </c>
      <c r="B189" s="61" t="s">
        <v>158</v>
      </c>
      <c r="C189" s="62">
        <v>5</v>
      </c>
      <c r="D189" s="62">
        <v>100</v>
      </c>
      <c r="E189" s="61" t="s">
        <v>286</v>
      </c>
      <c r="F189" s="63" t="s">
        <v>287</v>
      </c>
      <c r="G189" s="64" t="s">
        <v>288</v>
      </c>
      <c r="H189" s="61" t="s">
        <v>289</v>
      </c>
      <c r="I189" s="65"/>
    </row>
    <row r="190" spans="1:9" ht="36" customHeight="1" x14ac:dyDescent="0.3">
      <c r="A190" s="41" t="s">
        <v>470</v>
      </c>
      <c r="B190" s="41" t="s">
        <v>160</v>
      </c>
      <c r="C190" s="42">
        <v>0</v>
      </c>
      <c r="D190" s="42">
        <v>0</v>
      </c>
      <c r="E190" s="41" t="s">
        <v>265</v>
      </c>
      <c r="F190" s="43" t="s">
        <v>266</v>
      </c>
      <c r="G190" s="42" t="s">
        <v>267</v>
      </c>
      <c r="H190" s="41" t="s">
        <v>268</v>
      </c>
      <c r="I190" s="44"/>
    </row>
    <row r="191" spans="1:9" ht="36" customHeight="1" x14ac:dyDescent="0.3">
      <c r="A191" s="41" t="s">
        <v>471</v>
      </c>
      <c r="B191" s="41" t="s">
        <v>160</v>
      </c>
      <c r="C191" s="45">
        <v>1</v>
      </c>
      <c r="D191" s="45">
        <v>20</v>
      </c>
      <c r="E191" s="41" t="s">
        <v>270</v>
      </c>
      <c r="F191" s="43" t="s">
        <v>271</v>
      </c>
      <c r="G191" s="42" t="s">
        <v>267</v>
      </c>
      <c r="H191" s="41" t="s">
        <v>272</v>
      </c>
      <c r="I191" s="44"/>
    </row>
    <row r="192" spans="1:9" ht="36" customHeight="1" x14ac:dyDescent="0.3">
      <c r="A192" s="46" t="s">
        <v>472</v>
      </c>
      <c r="B192" s="46" t="s">
        <v>160</v>
      </c>
      <c r="C192" s="47">
        <v>2</v>
      </c>
      <c r="D192" s="47">
        <v>40</v>
      </c>
      <c r="E192" s="46" t="s">
        <v>274</v>
      </c>
      <c r="F192" s="48" t="s">
        <v>275</v>
      </c>
      <c r="G192" s="49" t="s">
        <v>267</v>
      </c>
      <c r="H192" s="46" t="s">
        <v>272</v>
      </c>
      <c r="I192" s="50"/>
    </row>
    <row r="193" spans="1:9" ht="36" customHeight="1" x14ac:dyDescent="0.3">
      <c r="A193" s="51" t="s">
        <v>473</v>
      </c>
      <c r="B193" s="51" t="s">
        <v>160</v>
      </c>
      <c r="C193" s="52">
        <v>3</v>
      </c>
      <c r="D193" s="52">
        <v>60</v>
      </c>
      <c r="E193" s="51" t="s">
        <v>277</v>
      </c>
      <c r="F193" s="53" t="s">
        <v>278</v>
      </c>
      <c r="G193" s="54" t="s">
        <v>279</v>
      </c>
      <c r="H193" s="51" t="s">
        <v>280</v>
      </c>
      <c r="I193" s="55"/>
    </row>
    <row r="194" spans="1:9" ht="36" customHeight="1" x14ac:dyDescent="0.3">
      <c r="A194" s="56" t="s">
        <v>474</v>
      </c>
      <c r="B194" s="56" t="s">
        <v>160</v>
      </c>
      <c r="C194" s="57">
        <v>4</v>
      </c>
      <c r="D194" s="57">
        <v>80</v>
      </c>
      <c r="E194" s="56" t="s">
        <v>282</v>
      </c>
      <c r="F194" s="58" t="s">
        <v>283</v>
      </c>
      <c r="G194" s="59" t="s">
        <v>279</v>
      </c>
      <c r="H194" s="56" t="s">
        <v>284</v>
      </c>
      <c r="I194" s="60"/>
    </row>
    <row r="195" spans="1:9" ht="36" customHeight="1" x14ac:dyDescent="0.3">
      <c r="A195" s="61" t="s">
        <v>475</v>
      </c>
      <c r="B195" s="61" t="s">
        <v>160</v>
      </c>
      <c r="C195" s="62">
        <v>5</v>
      </c>
      <c r="D195" s="62">
        <v>100</v>
      </c>
      <c r="E195" s="61" t="s">
        <v>286</v>
      </c>
      <c r="F195" s="63" t="s">
        <v>287</v>
      </c>
      <c r="G195" s="64" t="s">
        <v>288</v>
      </c>
      <c r="H195" s="61" t="s">
        <v>289</v>
      </c>
      <c r="I195" s="65"/>
    </row>
    <row r="196" spans="1:9" ht="36" customHeight="1" x14ac:dyDescent="0.3">
      <c r="A196" s="41" t="s">
        <v>476</v>
      </c>
      <c r="B196" s="41" t="s">
        <v>162</v>
      </c>
      <c r="C196" s="42">
        <v>0</v>
      </c>
      <c r="D196" s="42">
        <v>0</v>
      </c>
      <c r="E196" s="41" t="s">
        <v>265</v>
      </c>
      <c r="F196" s="43" t="s">
        <v>266</v>
      </c>
      <c r="G196" s="42" t="s">
        <v>267</v>
      </c>
      <c r="H196" s="41" t="s">
        <v>268</v>
      </c>
      <c r="I196" s="44"/>
    </row>
    <row r="197" spans="1:9" ht="36" customHeight="1" x14ac:dyDescent="0.3">
      <c r="A197" s="41" t="s">
        <v>477</v>
      </c>
      <c r="B197" s="41" t="s">
        <v>162</v>
      </c>
      <c r="C197" s="45">
        <v>1</v>
      </c>
      <c r="D197" s="45">
        <v>20</v>
      </c>
      <c r="E197" s="41" t="s">
        <v>270</v>
      </c>
      <c r="F197" s="43" t="s">
        <v>271</v>
      </c>
      <c r="G197" s="42" t="s">
        <v>267</v>
      </c>
      <c r="H197" s="41" t="s">
        <v>272</v>
      </c>
      <c r="I197" s="44"/>
    </row>
    <row r="198" spans="1:9" ht="36" customHeight="1" x14ac:dyDescent="0.3">
      <c r="A198" s="46" t="s">
        <v>478</v>
      </c>
      <c r="B198" s="46" t="s">
        <v>162</v>
      </c>
      <c r="C198" s="47">
        <v>2</v>
      </c>
      <c r="D198" s="47">
        <v>40</v>
      </c>
      <c r="E198" s="46" t="s">
        <v>274</v>
      </c>
      <c r="F198" s="48" t="s">
        <v>275</v>
      </c>
      <c r="G198" s="49" t="s">
        <v>267</v>
      </c>
      <c r="H198" s="46" t="s">
        <v>272</v>
      </c>
      <c r="I198" s="50"/>
    </row>
    <row r="199" spans="1:9" ht="36" customHeight="1" x14ac:dyDescent="0.3">
      <c r="A199" s="51" t="s">
        <v>479</v>
      </c>
      <c r="B199" s="51" t="s">
        <v>162</v>
      </c>
      <c r="C199" s="52">
        <v>3</v>
      </c>
      <c r="D199" s="52">
        <v>60</v>
      </c>
      <c r="E199" s="51" t="s">
        <v>277</v>
      </c>
      <c r="F199" s="53" t="s">
        <v>278</v>
      </c>
      <c r="G199" s="54" t="s">
        <v>279</v>
      </c>
      <c r="H199" s="51" t="s">
        <v>280</v>
      </c>
      <c r="I199" s="55"/>
    </row>
    <row r="200" spans="1:9" ht="36" customHeight="1" x14ac:dyDescent="0.3">
      <c r="A200" s="56" t="s">
        <v>480</v>
      </c>
      <c r="B200" s="56" t="s">
        <v>162</v>
      </c>
      <c r="C200" s="57">
        <v>4</v>
      </c>
      <c r="D200" s="57">
        <v>80</v>
      </c>
      <c r="E200" s="56" t="s">
        <v>282</v>
      </c>
      <c r="F200" s="58" t="s">
        <v>283</v>
      </c>
      <c r="G200" s="59" t="s">
        <v>279</v>
      </c>
      <c r="H200" s="56" t="s">
        <v>284</v>
      </c>
      <c r="I200" s="60"/>
    </row>
    <row r="201" spans="1:9" ht="36" customHeight="1" x14ac:dyDescent="0.3">
      <c r="A201" s="61" t="s">
        <v>481</v>
      </c>
      <c r="B201" s="61" t="s">
        <v>162</v>
      </c>
      <c r="C201" s="62">
        <v>5</v>
      </c>
      <c r="D201" s="62">
        <v>100</v>
      </c>
      <c r="E201" s="61" t="s">
        <v>286</v>
      </c>
      <c r="F201" s="63" t="s">
        <v>287</v>
      </c>
      <c r="G201" s="64" t="s">
        <v>288</v>
      </c>
      <c r="H201" s="61" t="s">
        <v>289</v>
      </c>
      <c r="I201" s="65"/>
    </row>
    <row r="202" spans="1:9" ht="36" customHeight="1" x14ac:dyDescent="0.3">
      <c r="A202" s="41" t="s">
        <v>482</v>
      </c>
      <c r="B202" s="41" t="s">
        <v>164</v>
      </c>
      <c r="C202" s="42">
        <v>0</v>
      </c>
      <c r="D202" s="42">
        <v>0</v>
      </c>
      <c r="E202" s="41" t="s">
        <v>265</v>
      </c>
      <c r="F202" s="43" t="s">
        <v>266</v>
      </c>
      <c r="G202" s="42" t="s">
        <v>267</v>
      </c>
      <c r="H202" s="41" t="s">
        <v>268</v>
      </c>
      <c r="I202" s="44"/>
    </row>
    <row r="203" spans="1:9" ht="36" customHeight="1" x14ac:dyDescent="0.3">
      <c r="A203" s="41" t="s">
        <v>483</v>
      </c>
      <c r="B203" s="41" t="s">
        <v>164</v>
      </c>
      <c r="C203" s="45">
        <v>1</v>
      </c>
      <c r="D203" s="45">
        <v>20</v>
      </c>
      <c r="E203" s="41" t="s">
        <v>270</v>
      </c>
      <c r="F203" s="43" t="s">
        <v>271</v>
      </c>
      <c r="G203" s="42" t="s">
        <v>267</v>
      </c>
      <c r="H203" s="41" t="s">
        <v>272</v>
      </c>
      <c r="I203" s="44"/>
    </row>
    <row r="204" spans="1:9" ht="36" customHeight="1" x14ac:dyDescent="0.3">
      <c r="A204" s="46" t="s">
        <v>484</v>
      </c>
      <c r="B204" s="46" t="s">
        <v>164</v>
      </c>
      <c r="C204" s="47">
        <v>2</v>
      </c>
      <c r="D204" s="47">
        <v>40</v>
      </c>
      <c r="E204" s="46" t="s">
        <v>274</v>
      </c>
      <c r="F204" s="48" t="s">
        <v>275</v>
      </c>
      <c r="G204" s="49" t="s">
        <v>267</v>
      </c>
      <c r="H204" s="46" t="s">
        <v>272</v>
      </c>
      <c r="I204" s="50"/>
    </row>
    <row r="205" spans="1:9" ht="36" customHeight="1" x14ac:dyDescent="0.3">
      <c r="A205" s="51" t="s">
        <v>485</v>
      </c>
      <c r="B205" s="51" t="s">
        <v>164</v>
      </c>
      <c r="C205" s="52">
        <v>3</v>
      </c>
      <c r="D205" s="52">
        <v>60</v>
      </c>
      <c r="E205" s="51" t="s">
        <v>277</v>
      </c>
      <c r="F205" s="53" t="s">
        <v>278</v>
      </c>
      <c r="G205" s="54" t="s">
        <v>279</v>
      </c>
      <c r="H205" s="51" t="s">
        <v>280</v>
      </c>
      <c r="I205" s="55"/>
    </row>
    <row r="206" spans="1:9" ht="36" customHeight="1" x14ac:dyDescent="0.3">
      <c r="A206" s="56" t="s">
        <v>486</v>
      </c>
      <c r="B206" s="56" t="s">
        <v>164</v>
      </c>
      <c r="C206" s="57">
        <v>4</v>
      </c>
      <c r="D206" s="57">
        <v>80</v>
      </c>
      <c r="E206" s="56" t="s">
        <v>282</v>
      </c>
      <c r="F206" s="58" t="s">
        <v>283</v>
      </c>
      <c r="G206" s="59" t="s">
        <v>279</v>
      </c>
      <c r="H206" s="56" t="s">
        <v>284</v>
      </c>
      <c r="I206" s="60"/>
    </row>
    <row r="207" spans="1:9" ht="36" customHeight="1" x14ac:dyDescent="0.3">
      <c r="A207" s="61" t="s">
        <v>487</v>
      </c>
      <c r="B207" s="61" t="s">
        <v>164</v>
      </c>
      <c r="C207" s="62">
        <v>5</v>
      </c>
      <c r="D207" s="62">
        <v>100</v>
      </c>
      <c r="E207" s="61" t="s">
        <v>286</v>
      </c>
      <c r="F207" s="63" t="s">
        <v>287</v>
      </c>
      <c r="G207" s="64" t="s">
        <v>288</v>
      </c>
      <c r="H207" s="61" t="s">
        <v>289</v>
      </c>
      <c r="I207" s="65"/>
    </row>
    <row r="208" spans="1:9" ht="36" customHeight="1" x14ac:dyDescent="0.3">
      <c r="A208" s="41" t="s">
        <v>488</v>
      </c>
      <c r="B208" s="41" t="s">
        <v>166</v>
      </c>
      <c r="C208" s="42">
        <v>0</v>
      </c>
      <c r="D208" s="42">
        <v>0</v>
      </c>
      <c r="E208" s="41" t="s">
        <v>265</v>
      </c>
      <c r="F208" s="43" t="s">
        <v>266</v>
      </c>
      <c r="G208" s="42" t="s">
        <v>267</v>
      </c>
      <c r="H208" s="41" t="s">
        <v>268</v>
      </c>
      <c r="I208" s="44"/>
    </row>
    <row r="209" spans="1:9" ht="36" customHeight="1" x14ac:dyDescent="0.3">
      <c r="A209" s="41" t="s">
        <v>489</v>
      </c>
      <c r="B209" s="41" t="s">
        <v>166</v>
      </c>
      <c r="C209" s="45">
        <v>1</v>
      </c>
      <c r="D209" s="45">
        <v>20</v>
      </c>
      <c r="E209" s="41" t="s">
        <v>270</v>
      </c>
      <c r="F209" s="43" t="s">
        <v>271</v>
      </c>
      <c r="G209" s="42" t="s">
        <v>267</v>
      </c>
      <c r="H209" s="41" t="s">
        <v>272</v>
      </c>
      <c r="I209" s="44"/>
    </row>
    <row r="210" spans="1:9" ht="36" customHeight="1" x14ac:dyDescent="0.3">
      <c r="A210" s="46" t="s">
        <v>490</v>
      </c>
      <c r="B210" s="46" t="s">
        <v>166</v>
      </c>
      <c r="C210" s="47">
        <v>2</v>
      </c>
      <c r="D210" s="47">
        <v>40</v>
      </c>
      <c r="E210" s="46" t="s">
        <v>274</v>
      </c>
      <c r="F210" s="48" t="s">
        <v>275</v>
      </c>
      <c r="G210" s="49" t="s">
        <v>267</v>
      </c>
      <c r="H210" s="46" t="s">
        <v>272</v>
      </c>
      <c r="I210" s="50"/>
    </row>
    <row r="211" spans="1:9" ht="36" customHeight="1" x14ac:dyDescent="0.3">
      <c r="A211" s="51" t="s">
        <v>491</v>
      </c>
      <c r="B211" s="51" t="s">
        <v>166</v>
      </c>
      <c r="C211" s="52">
        <v>3</v>
      </c>
      <c r="D211" s="52">
        <v>60</v>
      </c>
      <c r="E211" s="51" t="s">
        <v>277</v>
      </c>
      <c r="F211" s="53" t="s">
        <v>278</v>
      </c>
      <c r="G211" s="54" t="s">
        <v>279</v>
      </c>
      <c r="H211" s="51" t="s">
        <v>280</v>
      </c>
      <c r="I211" s="55"/>
    </row>
    <row r="212" spans="1:9" ht="36" customHeight="1" x14ac:dyDescent="0.3">
      <c r="A212" s="56" t="s">
        <v>492</v>
      </c>
      <c r="B212" s="56" t="s">
        <v>166</v>
      </c>
      <c r="C212" s="57">
        <v>4</v>
      </c>
      <c r="D212" s="57">
        <v>80</v>
      </c>
      <c r="E212" s="56" t="s">
        <v>282</v>
      </c>
      <c r="F212" s="58" t="s">
        <v>283</v>
      </c>
      <c r="G212" s="59" t="s">
        <v>279</v>
      </c>
      <c r="H212" s="56" t="s">
        <v>284</v>
      </c>
      <c r="I212" s="60"/>
    </row>
    <row r="213" spans="1:9" ht="36" customHeight="1" x14ac:dyDescent="0.3">
      <c r="A213" s="61" t="s">
        <v>493</v>
      </c>
      <c r="B213" s="61" t="s">
        <v>166</v>
      </c>
      <c r="C213" s="62">
        <v>5</v>
      </c>
      <c r="D213" s="62">
        <v>100</v>
      </c>
      <c r="E213" s="61" t="s">
        <v>286</v>
      </c>
      <c r="F213" s="63" t="s">
        <v>287</v>
      </c>
      <c r="G213" s="64" t="s">
        <v>288</v>
      </c>
      <c r="H213" s="61" t="s">
        <v>289</v>
      </c>
      <c r="I213" s="65"/>
    </row>
    <row r="214" spans="1:9" ht="36" customHeight="1" x14ac:dyDescent="0.3">
      <c r="A214" s="41" t="s">
        <v>494</v>
      </c>
      <c r="B214" s="41" t="s">
        <v>168</v>
      </c>
      <c r="C214" s="42">
        <v>0</v>
      </c>
      <c r="D214" s="42">
        <v>0</v>
      </c>
      <c r="E214" s="41" t="s">
        <v>265</v>
      </c>
      <c r="F214" s="43" t="s">
        <v>266</v>
      </c>
      <c r="G214" s="42" t="s">
        <v>267</v>
      </c>
      <c r="H214" s="41" t="s">
        <v>268</v>
      </c>
      <c r="I214" s="44"/>
    </row>
    <row r="215" spans="1:9" ht="36" customHeight="1" x14ac:dyDescent="0.3">
      <c r="A215" s="41" t="s">
        <v>495</v>
      </c>
      <c r="B215" s="41" t="s">
        <v>168</v>
      </c>
      <c r="C215" s="45">
        <v>1</v>
      </c>
      <c r="D215" s="45">
        <v>20</v>
      </c>
      <c r="E215" s="41" t="s">
        <v>270</v>
      </c>
      <c r="F215" s="43" t="s">
        <v>271</v>
      </c>
      <c r="G215" s="42" t="s">
        <v>267</v>
      </c>
      <c r="H215" s="41" t="s">
        <v>272</v>
      </c>
      <c r="I215" s="44"/>
    </row>
    <row r="216" spans="1:9" ht="36" customHeight="1" x14ac:dyDescent="0.3">
      <c r="A216" s="46" t="s">
        <v>496</v>
      </c>
      <c r="B216" s="46" t="s">
        <v>168</v>
      </c>
      <c r="C216" s="47">
        <v>2</v>
      </c>
      <c r="D216" s="47">
        <v>40</v>
      </c>
      <c r="E216" s="46" t="s">
        <v>274</v>
      </c>
      <c r="F216" s="48" t="s">
        <v>275</v>
      </c>
      <c r="G216" s="49" t="s">
        <v>267</v>
      </c>
      <c r="H216" s="46" t="s">
        <v>272</v>
      </c>
      <c r="I216" s="50"/>
    </row>
    <row r="217" spans="1:9" ht="36" customHeight="1" x14ac:dyDescent="0.3">
      <c r="A217" s="51" t="s">
        <v>497</v>
      </c>
      <c r="B217" s="51" t="s">
        <v>168</v>
      </c>
      <c r="C217" s="52">
        <v>3</v>
      </c>
      <c r="D217" s="52">
        <v>60</v>
      </c>
      <c r="E217" s="51" t="s">
        <v>277</v>
      </c>
      <c r="F217" s="53" t="s">
        <v>278</v>
      </c>
      <c r="G217" s="54" t="s">
        <v>279</v>
      </c>
      <c r="H217" s="51" t="s">
        <v>280</v>
      </c>
      <c r="I217" s="55"/>
    </row>
    <row r="218" spans="1:9" ht="36" customHeight="1" x14ac:dyDescent="0.3">
      <c r="A218" s="56" t="s">
        <v>498</v>
      </c>
      <c r="B218" s="56" t="s">
        <v>168</v>
      </c>
      <c r="C218" s="57">
        <v>4</v>
      </c>
      <c r="D218" s="57">
        <v>80</v>
      </c>
      <c r="E218" s="56" t="s">
        <v>282</v>
      </c>
      <c r="F218" s="58" t="s">
        <v>283</v>
      </c>
      <c r="G218" s="59" t="s">
        <v>279</v>
      </c>
      <c r="H218" s="56" t="s">
        <v>284</v>
      </c>
      <c r="I218" s="60"/>
    </row>
    <row r="219" spans="1:9" ht="36" customHeight="1" x14ac:dyDescent="0.3">
      <c r="A219" s="61" t="s">
        <v>499</v>
      </c>
      <c r="B219" s="61" t="s">
        <v>168</v>
      </c>
      <c r="C219" s="62">
        <v>5</v>
      </c>
      <c r="D219" s="62">
        <v>100</v>
      </c>
      <c r="E219" s="61" t="s">
        <v>286</v>
      </c>
      <c r="F219" s="63" t="s">
        <v>287</v>
      </c>
      <c r="G219" s="64" t="s">
        <v>288</v>
      </c>
      <c r="H219" s="61" t="s">
        <v>289</v>
      </c>
      <c r="I219" s="65"/>
    </row>
    <row r="220" spans="1:9" ht="36" customHeight="1" x14ac:dyDescent="0.3">
      <c r="A220" s="41" t="s">
        <v>500</v>
      </c>
      <c r="B220" s="41" t="s">
        <v>170</v>
      </c>
      <c r="C220" s="42">
        <v>0</v>
      </c>
      <c r="D220" s="42">
        <v>0</v>
      </c>
      <c r="E220" s="41" t="s">
        <v>265</v>
      </c>
      <c r="F220" s="43" t="s">
        <v>266</v>
      </c>
      <c r="G220" s="42" t="s">
        <v>267</v>
      </c>
      <c r="H220" s="41" t="s">
        <v>268</v>
      </c>
      <c r="I220" s="44"/>
    </row>
    <row r="221" spans="1:9" ht="36" customHeight="1" x14ac:dyDescent="0.3">
      <c r="A221" s="41" t="s">
        <v>501</v>
      </c>
      <c r="B221" s="41" t="s">
        <v>170</v>
      </c>
      <c r="C221" s="45">
        <v>1</v>
      </c>
      <c r="D221" s="45">
        <v>20</v>
      </c>
      <c r="E221" s="41" t="s">
        <v>270</v>
      </c>
      <c r="F221" s="43" t="s">
        <v>271</v>
      </c>
      <c r="G221" s="42" t="s">
        <v>267</v>
      </c>
      <c r="H221" s="41" t="s">
        <v>272</v>
      </c>
      <c r="I221" s="44"/>
    </row>
    <row r="222" spans="1:9" ht="36" customHeight="1" x14ac:dyDescent="0.3">
      <c r="A222" s="46" t="s">
        <v>502</v>
      </c>
      <c r="B222" s="46" t="s">
        <v>170</v>
      </c>
      <c r="C222" s="47">
        <v>2</v>
      </c>
      <c r="D222" s="47">
        <v>40</v>
      </c>
      <c r="E222" s="46" t="s">
        <v>274</v>
      </c>
      <c r="F222" s="48" t="s">
        <v>275</v>
      </c>
      <c r="G222" s="49" t="s">
        <v>267</v>
      </c>
      <c r="H222" s="46" t="s">
        <v>272</v>
      </c>
      <c r="I222" s="50"/>
    </row>
    <row r="223" spans="1:9" ht="36" customHeight="1" x14ac:dyDescent="0.3">
      <c r="A223" s="51" t="s">
        <v>503</v>
      </c>
      <c r="B223" s="51" t="s">
        <v>170</v>
      </c>
      <c r="C223" s="52">
        <v>3</v>
      </c>
      <c r="D223" s="52">
        <v>60</v>
      </c>
      <c r="E223" s="51" t="s">
        <v>277</v>
      </c>
      <c r="F223" s="53" t="s">
        <v>278</v>
      </c>
      <c r="G223" s="54" t="s">
        <v>279</v>
      </c>
      <c r="H223" s="51" t="s">
        <v>280</v>
      </c>
      <c r="I223" s="55"/>
    </row>
    <row r="224" spans="1:9" ht="36" customHeight="1" x14ac:dyDescent="0.3">
      <c r="A224" s="56" t="s">
        <v>504</v>
      </c>
      <c r="B224" s="56" t="s">
        <v>170</v>
      </c>
      <c r="C224" s="57">
        <v>4</v>
      </c>
      <c r="D224" s="57">
        <v>80</v>
      </c>
      <c r="E224" s="56" t="s">
        <v>282</v>
      </c>
      <c r="F224" s="58" t="s">
        <v>283</v>
      </c>
      <c r="G224" s="59" t="s">
        <v>279</v>
      </c>
      <c r="H224" s="56" t="s">
        <v>284</v>
      </c>
      <c r="I224" s="60"/>
    </row>
    <row r="225" spans="1:9" ht="36" customHeight="1" x14ac:dyDescent="0.3">
      <c r="A225" s="61" t="s">
        <v>505</v>
      </c>
      <c r="B225" s="61" t="s">
        <v>170</v>
      </c>
      <c r="C225" s="62">
        <v>5</v>
      </c>
      <c r="D225" s="62">
        <v>100</v>
      </c>
      <c r="E225" s="61" t="s">
        <v>286</v>
      </c>
      <c r="F225" s="63" t="s">
        <v>287</v>
      </c>
      <c r="G225" s="64" t="s">
        <v>288</v>
      </c>
      <c r="H225" s="61" t="s">
        <v>289</v>
      </c>
      <c r="I225" s="65"/>
    </row>
    <row r="226" spans="1:9" ht="36" customHeight="1" x14ac:dyDescent="0.3">
      <c r="A226" s="41" t="s">
        <v>506</v>
      </c>
      <c r="B226" s="41" t="s">
        <v>172</v>
      </c>
      <c r="C226" s="42">
        <v>0</v>
      </c>
      <c r="D226" s="42">
        <v>0</v>
      </c>
      <c r="E226" s="41" t="s">
        <v>265</v>
      </c>
      <c r="F226" s="43" t="s">
        <v>266</v>
      </c>
      <c r="G226" s="42" t="s">
        <v>267</v>
      </c>
      <c r="H226" s="41" t="s">
        <v>268</v>
      </c>
      <c r="I226" s="44"/>
    </row>
    <row r="227" spans="1:9" ht="36" customHeight="1" x14ac:dyDescent="0.3">
      <c r="A227" s="41" t="s">
        <v>507</v>
      </c>
      <c r="B227" s="41" t="s">
        <v>172</v>
      </c>
      <c r="C227" s="45">
        <v>1</v>
      </c>
      <c r="D227" s="45">
        <v>20</v>
      </c>
      <c r="E227" s="41" t="s">
        <v>270</v>
      </c>
      <c r="F227" s="43" t="s">
        <v>271</v>
      </c>
      <c r="G227" s="42" t="s">
        <v>267</v>
      </c>
      <c r="H227" s="41" t="s">
        <v>272</v>
      </c>
      <c r="I227" s="44"/>
    </row>
    <row r="228" spans="1:9" ht="36" customHeight="1" x14ac:dyDescent="0.3">
      <c r="A228" s="46" t="s">
        <v>508</v>
      </c>
      <c r="B228" s="46" t="s">
        <v>172</v>
      </c>
      <c r="C228" s="47">
        <v>2</v>
      </c>
      <c r="D228" s="47">
        <v>40</v>
      </c>
      <c r="E228" s="46" t="s">
        <v>274</v>
      </c>
      <c r="F228" s="48" t="s">
        <v>275</v>
      </c>
      <c r="G228" s="49" t="s">
        <v>267</v>
      </c>
      <c r="H228" s="46" t="s">
        <v>272</v>
      </c>
      <c r="I228" s="50"/>
    </row>
    <row r="229" spans="1:9" ht="36" customHeight="1" x14ac:dyDescent="0.3">
      <c r="A229" s="51" t="s">
        <v>509</v>
      </c>
      <c r="B229" s="51" t="s">
        <v>172</v>
      </c>
      <c r="C229" s="52">
        <v>3</v>
      </c>
      <c r="D229" s="52">
        <v>60</v>
      </c>
      <c r="E229" s="51" t="s">
        <v>277</v>
      </c>
      <c r="F229" s="53" t="s">
        <v>278</v>
      </c>
      <c r="G229" s="54" t="s">
        <v>279</v>
      </c>
      <c r="H229" s="51" t="s">
        <v>280</v>
      </c>
      <c r="I229" s="55"/>
    </row>
    <row r="230" spans="1:9" ht="36" customHeight="1" x14ac:dyDescent="0.3">
      <c r="A230" s="56" t="s">
        <v>510</v>
      </c>
      <c r="B230" s="56" t="s">
        <v>172</v>
      </c>
      <c r="C230" s="57">
        <v>4</v>
      </c>
      <c r="D230" s="57">
        <v>80</v>
      </c>
      <c r="E230" s="56" t="s">
        <v>282</v>
      </c>
      <c r="F230" s="58" t="s">
        <v>283</v>
      </c>
      <c r="G230" s="59" t="s">
        <v>279</v>
      </c>
      <c r="H230" s="56" t="s">
        <v>284</v>
      </c>
      <c r="I230" s="60"/>
    </row>
    <row r="231" spans="1:9" ht="36" customHeight="1" x14ac:dyDescent="0.3">
      <c r="A231" s="61" t="s">
        <v>511</v>
      </c>
      <c r="B231" s="61" t="s">
        <v>172</v>
      </c>
      <c r="C231" s="62">
        <v>5</v>
      </c>
      <c r="D231" s="62">
        <v>100</v>
      </c>
      <c r="E231" s="61" t="s">
        <v>286</v>
      </c>
      <c r="F231" s="63" t="s">
        <v>287</v>
      </c>
      <c r="G231" s="64" t="s">
        <v>288</v>
      </c>
      <c r="H231" s="61" t="s">
        <v>289</v>
      </c>
      <c r="I231" s="65"/>
    </row>
    <row r="232" spans="1:9" ht="36" customHeight="1" x14ac:dyDescent="0.3">
      <c r="A232" s="41" t="s">
        <v>512</v>
      </c>
      <c r="B232" s="41" t="s">
        <v>174</v>
      </c>
      <c r="C232" s="42">
        <v>0</v>
      </c>
      <c r="D232" s="42">
        <v>0</v>
      </c>
      <c r="E232" s="41" t="s">
        <v>265</v>
      </c>
      <c r="F232" s="43" t="s">
        <v>266</v>
      </c>
      <c r="G232" s="42" t="s">
        <v>267</v>
      </c>
      <c r="H232" s="41" t="s">
        <v>268</v>
      </c>
      <c r="I232" s="44"/>
    </row>
    <row r="233" spans="1:9" ht="36" customHeight="1" x14ac:dyDescent="0.3">
      <c r="A233" s="41" t="s">
        <v>513</v>
      </c>
      <c r="B233" s="41" t="s">
        <v>174</v>
      </c>
      <c r="C233" s="45">
        <v>1</v>
      </c>
      <c r="D233" s="45">
        <v>20</v>
      </c>
      <c r="E233" s="41" t="s">
        <v>270</v>
      </c>
      <c r="F233" s="43" t="s">
        <v>271</v>
      </c>
      <c r="G233" s="42" t="s">
        <v>267</v>
      </c>
      <c r="H233" s="41" t="s">
        <v>272</v>
      </c>
      <c r="I233" s="44"/>
    </row>
    <row r="234" spans="1:9" ht="36" customHeight="1" x14ac:dyDescent="0.3">
      <c r="A234" s="46" t="s">
        <v>514</v>
      </c>
      <c r="B234" s="46" t="s">
        <v>174</v>
      </c>
      <c r="C234" s="47">
        <v>2</v>
      </c>
      <c r="D234" s="47">
        <v>40</v>
      </c>
      <c r="E234" s="46" t="s">
        <v>274</v>
      </c>
      <c r="F234" s="48" t="s">
        <v>275</v>
      </c>
      <c r="G234" s="49" t="s">
        <v>267</v>
      </c>
      <c r="H234" s="46" t="s">
        <v>272</v>
      </c>
      <c r="I234" s="50"/>
    </row>
    <row r="235" spans="1:9" ht="36" customHeight="1" x14ac:dyDescent="0.3">
      <c r="A235" s="51" t="s">
        <v>515</v>
      </c>
      <c r="B235" s="51" t="s">
        <v>174</v>
      </c>
      <c r="C235" s="52">
        <v>3</v>
      </c>
      <c r="D235" s="52">
        <v>60</v>
      </c>
      <c r="E235" s="51" t="s">
        <v>277</v>
      </c>
      <c r="F235" s="53" t="s">
        <v>278</v>
      </c>
      <c r="G235" s="54" t="s">
        <v>279</v>
      </c>
      <c r="H235" s="51" t="s">
        <v>280</v>
      </c>
      <c r="I235" s="55"/>
    </row>
    <row r="236" spans="1:9" ht="36" customHeight="1" x14ac:dyDescent="0.3">
      <c r="A236" s="56" t="s">
        <v>516</v>
      </c>
      <c r="B236" s="56" t="s">
        <v>174</v>
      </c>
      <c r="C236" s="57">
        <v>4</v>
      </c>
      <c r="D236" s="57">
        <v>80</v>
      </c>
      <c r="E236" s="56" t="s">
        <v>282</v>
      </c>
      <c r="F236" s="58" t="s">
        <v>283</v>
      </c>
      <c r="G236" s="59" t="s">
        <v>279</v>
      </c>
      <c r="H236" s="56" t="s">
        <v>284</v>
      </c>
      <c r="I236" s="60"/>
    </row>
    <row r="237" spans="1:9" ht="36" customHeight="1" x14ac:dyDescent="0.3">
      <c r="A237" s="61" t="s">
        <v>517</v>
      </c>
      <c r="B237" s="61" t="s">
        <v>174</v>
      </c>
      <c r="C237" s="62">
        <v>5</v>
      </c>
      <c r="D237" s="62">
        <v>100</v>
      </c>
      <c r="E237" s="61" t="s">
        <v>286</v>
      </c>
      <c r="F237" s="63" t="s">
        <v>287</v>
      </c>
      <c r="G237" s="64" t="s">
        <v>288</v>
      </c>
      <c r="H237" s="61" t="s">
        <v>289</v>
      </c>
      <c r="I237" s="65"/>
    </row>
    <row r="238" spans="1:9" ht="36" customHeight="1" x14ac:dyDescent="0.3">
      <c r="A238" s="41" t="s">
        <v>518</v>
      </c>
      <c r="B238" s="41" t="s">
        <v>176</v>
      </c>
      <c r="C238" s="42">
        <v>0</v>
      </c>
      <c r="D238" s="42">
        <v>0</v>
      </c>
      <c r="E238" s="41" t="s">
        <v>265</v>
      </c>
      <c r="F238" s="43" t="s">
        <v>266</v>
      </c>
      <c r="G238" s="42" t="s">
        <v>267</v>
      </c>
      <c r="H238" s="41" t="s">
        <v>268</v>
      </c>
      <c r="I238" s="44"/>
    </row>
    <row r="239" spans="1:9" ht="36" customHeight="1" x14ac:dyDescent="0.3">
      <c r="A239" s="41" t="s">
        <v>519</v>
      </c>
      <c r="B239" s="41" t="s">
        <v>176</v>
      </c>
      <c r="C239" s="45">
        <v>1</v>
      </c>
      <c r="D239" s="45">
        <v>20</v>
      </c>
      <c r="E239" s="41" t="s">
        <v>270</v>
      </c>
      <c r="F239" s="43" t="s">
        <v>271</v>
      </c>
      <c r="G239" s="42" t="s">
        <v>267</v>
      </c>
      <c r="H239" s="41" t="s">
        <v>272</v>
      </c>
      <c r="I239" s="44"/>
    </row>
    <row r="240" spans="1:9" ht="36" customHeight="1" x14ac:dyDescent="0.3">
      <c r="A240" s="46" t="s">
        <v>520</v>
      </c>
      <c r="B240" s="46" t="s">
        <v>176</v>
      </c>
      <c r="C240" s="47">
        <v>2</v>
      </c>
      <c r="D240" s="47">
        <v>40</v>
      </c>
      <c r="E240" s="46" t="s">
        <v>274</v>
      </c>
      <c r="F240" s="48" t="s">
        <v>275</v>
      </c>
      <c r="G240" s="49" t="s">
        <v>267</v>
      </c>
      <c r="H240" s="46" t="s">
        <v>272</v>
      </c>
      <c r="I240" s="50"/>
    </row>
    <row r="241" spans="1:9" ht="36" customHeight="1" x14ac:dyDescent="0.3">
      <c r="A241" s="51" t="s">
        <v>521</v>
      </c>
      <c r="B241" s="51" t="s">
        <v>176</v>
      </c>
      <c r="C241" s="52">
        <v>3</v>
      </c>
      <c r="D241" s="52">
        <v>60</v>
      </c>
      <c r="E241" s="51" t="s">
        <v>277</v>
      </c>
      <c r="F241" s="53" t="s">
        <v>278</v>
      </c>
      <c r="G241" s="54" t="s">
        <v>279</v>
      </c>
      <c r="H241" s="51" t="s">
        <v>280</v>
      </c>
      <c r="I241" s="55"/>
    </row>
    <row r="242" spans="1:9" ht="36" customHeight="1" x14ac:dyDescent="0.3">
      <c r="A242" s="56" t="s">
        <v>522</v>
      </c>
      <c r="B242" s="56" t="s">
        <v>176</v>
      </c>
      <c r="C242" s="57">
        <v>4</v>
      </c>
      <c r="D242" s="57">
        <v>80</v>
      </c>
      <c r="E242" s="56" t="s">
        <v>282</v>
      </c>
      <c r="F242" s="58" t="s">
        <v>283</v>
      </c>
      <c r="G242" s="59" t="s">
        <v>279</v>
      </c>
      <c r="H242" s="56" t="s">
        <v>284</v>
      </c>
      <c r="I242" s="60"/>
    </row>
    <row r="243" spans="1:9" ht="36" customHeight="1" x14ac:dyDescent="0.3">
      <c r="A243" s="61" t="s">
        <v>523</v>
      </c>
      <c r="B243" s="61" t="s">
        <v>176</v>
      </c>
      <c r="C243" s="62">
        <v>5</v>
      </c>
      <c r="D243" s="62">
        <v>100</v>
      </c>
      <c r="E243" s="61" t="s">
        <v>286</v>
      </c>
      <c r="F243" s="63" t="s">
        <v>287</v>
      </c>
      <c r="G243" s="64" t="s">
        <v>288</v>
      </c>
      <c r="H243" s="61" t="s">
        <v>289</v>
      </c>
      <c r="I243" s="65"/>
    </row>
    <row r="244" spans="1:9" ht="36" customHeight="1" x14ac:dyDescent="0.3">
      <c r="A244" s="41" t="s">
        <v>524</v>
      </c>
      <c r="B244" s="41" t="s">
        <v>178</v>
      </c>
      <c r="C244" s="42">
        <v>0</v>
      </c>
      <c r="D244" s="42">
        <v>0</v>
      </c>
      <c r="E244" s="41" t="s">
        <v>265</v>
      </c>
      <c r="F244" s="43" t="s">
        <v>266</v>
      </c>
      <c r="G244" s="42" t="s">
        <v>267</v>
      </c>
      <c r="H244" s="41" t="s">
        <v>268</v>
      </c>
      <c r="I244" s="44"/>
    </row>
    <row r="245" spans="1:9" ht="36" customHeight="1" x14ac:dyDescent="0.3">
      <c r="A245" s="41" t="s">
        <v>525</v>
      </c>
      <c r="B245" s="41" t="s">
        <v>178</v>
      </c>
      <c r="C245" s="45">
        <v>1</v>
      </c>
      <c r="D245" s="45">
        <v>20</v>
      </c>
      <c r="E245" s="41" t="s">
        <v>270</v>
      </c>
      <c r="F245" s="43" t="s">
        <v>271</v>
      </c>
      <c r="G245" s="42" t="s">
        <v>267</v>
      </c>
      <c r="H245" s="41" t="s">
        <v>272</v>
      </c>
      <c r="I245" s="44"/>
    </row>
    <row r="246" spans="1:9" ht="36" customHeight="1" x14ac:dyDescent="0.3">
      <c r="A246" s="46" t="s">
        <v>526</v>
      </c>
      <c r="B246" s="46" t="s">
        <v>178</v>
      </c>
      <c r="C246" s="47">
        <v>2</v>
      </c>
      <c r="D246" s="47">
        <v>40</v>
      </c>
      <c r="E246" s="46" t="s">
        <v>274</v>
      </c>
      <c r="F246" s="48" t="s">
        <v>275</v>
      </c>
      <c r="G246" s="49" t="s">
        <v>267</v>
      </c>
      <c r="H246" s="46" t="s">
        <v>272</v>
      </c>
      <c r="I246" s="50"/>
    </row>
    <row r="247" spans="1:9" ht="36" customHeight="1" x14ac:dyDescent="0.3">
      <c r="A247" s="51" t="s">
        <v>527</v>
      </c>
      <c r="B247" s="51" t="s">
        <v>178</v>
      </c>
      <c r="C247" s="52">
        <v>3</v>
      </c>
      <c r="D247" s="52">
        <v>60</v>
      </c>
      <c r="E247" s="51" t="s">
        <v>277</v>
      </c>
      <c r="F247" s="53" t="s">
        <v>278</v>
      </c>
      <c r="G247" s="54" t="s">
        <v>279</v>
      </c>
      <c r="H247" s="51" t="s">
        <v>280</v>
      </c>
      <c r="I247" s="55"/>
    </row>
    <row r="248" spans="1:9" ht="36" customHeight="1" x14ac:dyDescent="0.3">
      <c r="A248" s="56" t="s">
        <v>528</v>
      </c>
      <c r="B248" s="56" t="s">
        <v>178</v>
      </c>
      <c r="C248" s="57">
        <v>4</v>
      </c>
      <c r="D248" s="57">
        <v>80</v>
      </c>
      <c r="E248" s="56" t="s">
        <v>282</v>
      </c>
      <c r="F248" s="58" t="s">
        <v>283</v>
      </c>
      <c r="G248" s="59" t="s">
        <v>279</v>
      </c>
      <c r="H248" s="56" t="s">
        <v>284</v>
      </c>
      <c r="I248" s="60"/>
    </row>
    <row r="249" spans="1:9" ht="36" customHeight="1" x14ac:dyDescent="0.3">
      <c r="A249" s="61" t="s">
        <v>529</v>
      </c>
      <c r="B249" s="61" t="s">
        <v>178</v>
      </c>
      <c r="C249" s="62">
        <v>5</v>
      </c>
      <c r="D249" s="62">
        <v>100</v>
      </c>
      <c r="E249" s="61" t="s">
        <v>286</v>
      </c>
      <c r="F249" s="63" t="s">
        <v>287</v>
      </c>
      <c r="G249" s="64" t="s">
        <v>288</v>
      </c>
      <c r="H249" s="61" t="s">
        <v>289</v>
      </c>
      <c r="I249" s="65"/>
    </row>
    <row r="250" spans="1:9" ht="36" customHeight="1" x14ac:dyDescent="0.3">
      <c r="A250" s="41" t="s">
        <v>530</v>
      </c>
      <c r="B250" s="41" t="s">
        <v>180</v>
      </c>
      <c r="C250" s="42">
        <v>0</v>
      </c>
      <c r="D250" s="42">
        <v>0</v>
      </c>
      <c r="E250" s="41" t="s">
        <v>265</v>
      </c>
      <c r="F250" s="43" t="s">
        <v>266</v>
      </c>
      <c r="G250" s="42" t="s">
        <v>267</v>
      </c>
      <c r="H250" s="41" t="s">
        <v>268</v>
      </c>
      <c r="I250" s="44"/>
    </row>
    <row r="251" spans="1:9" ht="36" customHeight="1" x14ac:dyDescent="0.3">
      <c r="A251" s="41" t="s">
        <v>531</v>
      </c>
      <c r="B251" s="41" t="s">
        <v>180</v>
      </c>
      <c r="C251" s="45">
        <v>1</v>
      </c>
      <c r="D251" s="45">
        <v>20</v>
      </c>
      <c r="E251" s="41" t="s">
        <v>270</v>
      </c>
      <c r="F251" s="43" t="s">
        <v>271</v>
      </c>
      <c r="G251" s="42" t="s">
        <v>267</v>
      </c>
      <c r="H251" s="41" t="s">
        <v>272</v>
      </c>
      <c r="I251" s="44"/>
    </row>
    <row r="252" spans="1:9" ht="36" customHeight="1" x14ac:dyDescent="0.3">
      <c r="A252" s="46" t="s">
        <v>532</v>
      </c>
      <c r="B252" s="46" t="s">
        <v>180</v>
      </c>
      <c r="C252" s="47">
        <v>2</v>
      </c>
      <c r="D252" s="47">
        <v>40</v>
      </c>
      <c r="E252" s="46" t="s">
        <v>274</v>
      </c>
      <c r="F252" s="48" t="s">
        <v>275</v>
      </c>
      <c r="G252" s="49" t="s">
        <v>267</v>
      </c>
      <c r="H252" s="46" t="s">
        <v>272</v>
      </c>
      <c r="I252" s="50"/>
    </row>
    <row r="253" spans="1:9" ht="36" customHeight="1" x14ac:dyDescent="0.3">
      <c r="A253" s="51" t="s">
        <v>533</v>
      </c>
      <c r="B253" s="51" t="s">
        <v>180</v>
      </c>
      <c r="C253" s="52">
        <v>3</v>
      </c>
      <c r="D253" s="52">
        <v>60</v>
      </c>
      <c r="E253" s="51" t="s">
        <v>277</v>
      </c>
      <c r="F253" s="53" t="s">
        <v>278</v>
      </c>
      <c r="G253" s="54" t="s">
        <v>279</v>
      </c>
      <c r="H253" s="51" t="s">
        <v>280</v>
      </c>
      <c r="I253" s="55"/>
    </row>
    <row r="254" spans="1:9" ht="36" customHeight="1" x14ac:dyDescent="0.3">
      <c r="A254" s="56" t="s">
        <v>534</v>
      </c>
      <c r="B254" s="56" t="s">
        <v>180</v>
      </c>
      <c r="C254" s="57">
        <v>4</v>
      </c>
      <c r="D254" s="57">
        <v>80</v>
      </c>
      <c r="E254" s="56" t="s">
        <v>282</v>
      </c>
      <c r="F254" s="58" t="s">
        <v>283</v>
      </c>
      <c r="G254" s="59" t="s">
        <v>279</v>
      </c>
      <c r="H254" s="56" t="s">
        <v>284</v>
      </c>
      <c r="I254" s="60"/>
    </row>
    <row r="255" spans="1:9" ht="36" customHeight="1" x14ac:dyDescent="0.3">
      <c r="A255" s="61" t="s">
        <v>535</v>
      </c>
      <c r="B255" s="61" t="s">
        <v>180</v>
      </c>
      <c r="C255" s="62">
        <v>5</v>
      </c>
      <c r="D255" s="62">
        <v>100</v>
      </c>
      <c r="E255" s="61" t="s">
        <v>286</v>
      </c>
      <c r="F255" s="63" t="s">
        <v>287</v>
      </c>
      <c r="G255" s="64" t="s">
        <v>288</v>
      </c>
      <c r="H255" s="61" t="s">
        <v>289</v>
      </c>
      <c r="I255" s="65"/>
    </row>
    <row r="256" spans="1:9" ht="36" customHeight="1" x14ac:dyDescent="0.3">
      <c r="A256" s="41" t="s">
        <v>536</v>
      </c>
      <c r="B256" s="41" t="s">
        <v>182</v>
      </c>
      <c r="C256" s="42">
        <v>0</v>
      </c>
      <c r="D256" s="42">
        <v>0</v>
      </c>
      <c r="E256" s="41" t="s">
        <v>265</v>
      </c>
      <c r="F256" s="43" t="s">
        <v>266</v>
      </c>
      <c r="G256" s="42" t="s">
        <v>267</v>
      </c>
      <c r="H256" s="41" t="s">
        <v>268</v>
      </c>
      <c r="I256" s="44"/>
    </row>
    <row r="257" spans="1:9" ht="36" customHeight="1" x14ac:dyDescent="0.3">
      <c r="A257" s="41" t="s">
        <v>537</v>
      </c>
      <c r="B257" s="41" t="s">
        <v>182</v>
      </c>
      <c r="C257" s="45">
        <v>1</v>
      </c>
      <c r="D257" s="45">
        <v>20</v>
      </c>
      <c r="E257" s="41" t="s">
        <v>270</v>
      </c>
      <c r="F257" s="43" t="s">
        <v>271</v>
      </c>
      <c r="G257" s="42" t="s">
        <v>267</v>
      </c>
      <c r="H257" s="41" t="s">
        <v>272</v>
      </c>
      <c r="I257" s="44"/>
    </row>
    <row r="258" spans="1:9" ht="36" customHeight="1" x14ac:dyDescent="0.3">
      <c r="A258" s="46" t="s">
        <v>538</v>
      </c>
      <c r="B258" s="46" t="s">
        <v>182</v>
      </c>
      <c r="C258" s="47">
        <v>2</v>
      </c>
      <c r="D258" s="47">
        <v>40</v>
      </c>
      <c r="E258" s="46" t="s">
        <v>274</v>
      </c>
      <c r="F258" s="48" t="s">
        <v>275</v>
      </c>
      <c r="G258" s="49" t="s">
        <v>267</v>
      </c>
      <c r="H258" s="46" t="s">
        <v>272</v>
      </c>
      <c r="I258" s="50"/>
    </row>
    <row r="259" spans="1:9" ht="36" customHeight="1" x14ac:dyDescent="0.3">
      <c r="A259" s="51" t="s">
        <v>539</v>
      </c>
      <c r="B259" s="51" t="s">
        <v>182</v>
      </c>
      <c r="C259" s="52">
        <v>3</v>
      </c>
      <c r="D259" s="52">
        <v>60</v>
      </c>
      <c r="E259" s="51" t="s">
        <v>277</v>
      </c>
      <c r="F259" s="53" t="s">
        <v>278</v>
      </c>
      <c r="G259" s="54" t="s">
        <v>279</v>
      </c>
      <c r="H259" s="51" t="s">
        <v>280</v>
      </c>
      <c r="I259" s="55"/>
    </row>
    <row r="260" spans="1:9" ht="36" customHeight="1" x14ac:dyDescent="0.3">
      <c r="A260" s="56" t="s">
        <v>540</v>
      </c>
      <c r="B260" s="56" t="s">
        <v>182</v>
      </c>
      <c r="C260" s="57">
        <v>4</v>
      </c>
      <c r="D260" s="57">
        <v>80</v>
      </c>
      <c r="E260" s="56" t="s">
        <v>282</v>
      </c>
      <c r="F260" s="58" t="s">
        <v>283</v>
      </c>
      <c r="G260" s="59" t="s">
        <v>279</v>
      </c>
      <c r="H260" s="56" t="s">
        <v>284</v>
      </c>
      <c r="I260" s="60"/>
    </row>
    <row r="261" spans="1:9" ht="36" customHeight="1" x14ac:dyDescent="0.3">
      <c r="A261" s="61" t="s">
        <v>541</v>
      </c>
      <c r="B261" s="61" t="s">
        <v>182</v>
      </c>
      <c r="C261" s="62">
        <v>5</v>
      </c>
      <c r="D261" s="62">
        <v>100</v>
      </c>
      <c r="E261" s="61" t="s">
        <v>286</v>
      </c>
      <c r="F261" s="63" t="s">
        <v>287</v>
      </c>
      <c r="G261" s="64" t="s">
        <v>288</v>
      </c>
      <c r="H261" s="61" t="s">
        <v>289</v>
      </c>
      <c r="I261" s="65"/>
    </row>
    <row r="262" spans="1:9" ht="36" customHeight="1" x14ac:dyDescent="0.3">
      <c r="A262" s="41" t="s">
        <v>542</v>
      </c>
      <c r="B262" s="41" t="s">
        <v>184</v>
      </c>
      <c r="C262" s="42">
        <v>0</v>
      </c>
      <c r="D262" s="42">
        <v>0</v>
      </c>
      <c r="E262" s="41" t="s">
        <v>265</v>
      </c>
      <c r="F262" s="43" t="s">
        <v>266</v>
      </c>
      <c r="G262" s="42" t="s">
        <v>267</v>
      </c>
      <c r="H262" s="41" t="s">
        <v>268</v>
      </c>
      <c r="I262" s="44"/>
    </row>
    <row r="263" spans="1:9" ht="36" customHeight="1" x14ac:dyDescent="0.3">
      <c r="A263" s="41" t="s">
        <v>543</v>
      </c>
      <c r="B263" s="41" t="s">
        <v>184</v>
      </c>
      <c r="C263" s="45">
        <v>1</v>
      </c>
      <c r="D263" s="45">
        <v>20</v>
      </c>
      <c r="E263" s="41" t="s">
        <v>270</v>
      </c>
      <c r="F263" s="43" t="s">
        <v>271</v>
      </c>
      <c r="G263" s="42" t="s">
        <v>267</v>
      </c>
      <c r="H263" s="41" t="s">
        <v>272</v>
      </c>
      <c r="I263" s="44"/>
    </row>
    <row r="264" spans="1:9" ht="36" customHeight="1" x14ac:dyDescent="0.3">
      <c r="A264" s="46" t="s">
        <v>544</v>
      </c>
      <c r="B264" s="46" t="s">
        <v>184</v>
      </c>
      <c r="C264" s="47">
        <v>2</v>
      </c>
      <c r="D264" s="47">
        <v>40</v>
      </c>
      <c r="E264" s="46" t="s">
        <v>274</v>
      </c>
      <c r="F264" s="48" t="s">
        <v>275</v>
      </c>
      <c r="G264" s="49" t="s">
        <v>267</v>
      </c>
      <c r="H264" s="46" t="s">
        <v>272</v>
      </c>
      <c r="I264" s="50"/>
    </row>
    <row r="265" spans="1:9" ht="36" customHeight="1" x14ac:dyDescent="0.3">
      <c r="A265" s="51" t="s">
        <v>545</v>
      </c>
      <c r="B265" s="51" t="s">
        <v>184</v>
      </c>
      <c r="C265" s="52">
        <v>3</v>
      </c>
      <c r="D265" s="52">
        <v>60</v>
      </c>
      <c r="E265" s="51" t="s">
        <v>277</v>
      </c>
      <c r="F265" s="53" t="s">
        <v>278</v>
      </c>
      <c r="G265" s="54" t="s">
        <v>279</v>
      </c>
      <c r="H265" s="51" t="s">
        <v>280</v>
      </c>
      <c r="I265" s="55"/>
    </row>
    <row r="266" spans="1:9" ht="36" customHeight="1" x14ac:dyDescent="0.3">
      <c r="A266" s="56" t="s">
        <v>546</v>
      </c>
      <c r="B266" s="56" t="s">
        <v>184</v>
      </c>
      <c r="C266" s="57">
        <v>4</v>
      </c>
      <c r="D266" s="57">
        <v>80</v>
      </c>
      <c r="E266" s="56" t="s">
        <v>282</v>
      </c>
      <c r="F266" s="58" t="s">
        <v>283</v>
      </c>
      <c r="G266" s="59" t="s">
        <v>279</v>
      </c>
      <c r="H266" s="56" t="s">
        <v>284</v>
      </c>
      <c r="I266" s="60"/>
    </row>
    <row r="267" spans="1:9" ht="36" customHeight="1" x14ac:dyDescent="0.3">
      <c r="A267" s="61" t="s">
        <v>547</v>
      </c>
      <c r="B267" s="61" t="s">
        <v>184</v>
      </c>
      <c r="C267" s="62">
        <v>5</v>
      </c>
      <c r="D267" s="62">
        <v>100</v>
      </c>
      <c r="E267" s="61" t="s">
        <v>286</v>
      </c>
      <c r="F267" s="63" t="s">
        <v>287</v>
      </c>
      <c r="G267" s="64" t="s">
        <v>288</v>
      </c>
      <c r="H267" s="61" t="s">
        <v>289</v>
      </c>
      <c r="I267" s="65"/>
    </row>
    <row r="268" spans="1:9" ht="36" customHeight="1" x14ac:dyDescent="0.3">
      <c r="A268" s="41" t="s">
        <v>548</v>
      </c>
      <c r="B268" s="41" t="s">
        <v>186</v>
      </c>
      <c r="C268" s="42">
        <v>0</v>
      </c>
      <c r="D268" s="42">
        <v>0</v>
      </c>
      <c r="E268" s="41" t="s">
        <v>265</v>
      </c>
      <c r="F268" s="43" t="s">
        <v>266</v>
      </c>
      <c r="G268" s="42" t="s">
        <v>267</v>
      </c>
      <c r="H268" s="41" t="s">
        <v>268</v>
      </c>
      <c r="I268" s="44"/>
    </row>
    <row r="269" spans="1:9" ht="36" customHeight="1" x14ac:dyDescent="0.3">
      <c r="A269" s="41" t="s">
        <v>549</v>
      </c>
      <c r="B269" s="41" t="s">
        <v>186</v>
      </c>
      <c r="C269" s="45">
        <v>1</v>
      </c>
      <c r="D269" s="45">
        <v>20</v>
      </c>
      <c r="E269" s="41" t="s">
        <v>270</v>
      </c>
      <c r="F269" s="43" t="s">
        <v>271</v>
      </c>
      <c r="G269" s="42" t="s">
        <v>267</v>
      </c>
      <c r="H269" s="41" t="s">
        <v>272</v>
      </c>
      <c r="I269" s="44"/>
    </row>
    <row r="270" spans="1:9" ht="36" customHeight="1" x14ac:dyDescent="0.3">
      <c r="A270" s="46" t="s">
        <v>550</v>
      </c>
      <c r="B270" s="46" t="s">
        <v>186</v>
      </c>
      <c r="C270" s="47">
        <v>2</v>
      </c>
      <c r="D270" s="47">
        <v>40</v>
      </c>
      <c r="E270" s="46" t="s">
        <v>274</v>
      </c>
      <c r="F270" s="48" t="s">
        <v>275</v>
      </c>
      <c r="G270" s="49" t="s">
        <v>267</v>
      </c>
      <c r="H270" s="46" t="s">
        <v>272</v>
      </c>
      <c r="I270" s="50"/>
    </row>
    <row r="271" spans="1:9" ht="36" customHeight="1" x14ac:dyDescent="0.3">
      <c r="A271" s="51" t="s">
        <v>551</v>
      </c>
      <c r="B271" s="51" t="s">
        <v>186</v>
      </c>
      <c r="C271" s="52">
        <v>3</v>
      </c>
      <c r="D271" s="52">
        <v>60</v>
      </c>
      <c r="E271" s="51" t="s">
        <v>277</v>
      </c>
      <c r="F271" s="53" t="s">
        <v>278</v>
      </c>
      <c r="G271" s="54" t="s">
        <v>279</v>
      </c>
      <c r="H271" s="51" t="s">
        <v>280</v>
      </c>
      <c r="I271" s="55"/>
    </row>
    <row r="272" spans="1:9" ht="36" customHeight="1" x14ac:dyDescent="0.3">
      <c r="A272" s="56" t="s">
        <v>552</v>
      </c>
      <c r="B272" s="56" t="s">
        <v>186</v>
      </c>
      <c r="C272" s="57">
        <v>4</v>
      </c>
      <c r="D272" s="57">
        <v>80</v>
      </c>
      <c r="E272" s="56" t="s">
        <v>282</v>
      </c>
      <c r="F272" s="58" t="s">
        <v>283</v>
      </c>
      <c r="G272" s="59" t="s">
        <v>279</v>
      </c>
      <c r="H272" s="56" t="s">
        <v>284</v>
      </c>
      <c r="I272" s="60"/>
    </row>
    <row r="273" spans="1:9" ht="36" customHeight="1" x14ac:dyDescent="0.3">
      <c r="A273" s="61" t="s">
        <v>553</v>
      </c>
      <c r="B273" s="61" t="s">
        <v>186</v>
      </c>
      <c r="C273" s="62">
        <v>5</v>
      </c>
      <c r="D273" s="62">
        <v>100</v>
      </c>
      <c r="E273" s="61" t="s">
        <v>286</v>
      </c>
      <c r="F273" s="63" t="s">
        <v>287</v>
      </c>
      <c r="G273" s="64" t="s">
        <v>288</v>
      </c>
      <c r="H273" s="61" t="s">
        <v>289</v>
      </c>
      <c r="I273" s="65"/>
    </row>
    <row r="274" spans="1:9" ht="36" customHeight="1" x14ac:dyDescent="0.3">
      <c r="A274" s="41" t="s">
        <v>554</v>
      </c>
      <c r="B274" s="41" t="s">
        <v>188</v>
      </c>
      <c r="C274" s="42">
        <v>0</v>
      </c>
      <c r="D274" s="42">
        <v>0</v>
      </c>
      <c r="E274" s="41" t="s">
        <v>265</v>
      </c>
      <c r="F274" s="43" t="s">
        <v>266</v>
      </c>
      <c r="G274" s="42" t="s">
        <v>267</v>
      </c>
      <c r="H274" s="41" t="s">
        <v>268</v>
      </c>
      <c r="I274" s="44"/>
    </row>
    <row r="275" spans="1:9" ht="36" customHeight="1" x14ac:dyDescent="0.3">
      <c r="A275" s="41" t="s">
        <v>555</v>
      </c>
      <c r="B275" s="41" t="s">
        <v>188</v>
      </c>
      <c r="C275" s="45">
        <v>1</v>
      </c>
      <c r="D275" s="45">
        <v>20</v>
      </c>
      <c r="E275" s="41" t="s">
        <v>270</v>
      </c>
      <c r="F275" s="43" t="s">
        <v>271</v>
      </c>
      <c r="G275" s="42" t="s">
        <v>267</v>
      </c>
      <c r="H275" s="41" t="s">
        <v>272</v>
      </c>
      <c r="I275" s="44"/>
    </row>
    <row r="276" spans="1:9" ht="36" customHeight="1" x14ac:dyDescent="0.3">
      <c r="A276" s="46" t="s">
        <v>556</v>
      </c>
      <c r="B276" s="46" t="s">
        <v>188</v>
      </c>
      <c r="C276" s="47">
        <v>2</v>
      </c>
      <c r="D276" s="47">
        <v>40</v>
      </c>
      <c r="E276" s="46" t="s">
        <v>274</v>
      </c>
      <c r="F276" s="48" t="s">
        <v>275</v>
      </c>
      <c r="G276" s="49" t="s">
        <v>267</v>
      </c>
      <c r="H276" s="46" t="s">
        <v>272</v>
      </c>
      <c r="I276" s="50"/>
    </row>
    <row r="277" spans="1:9" ht="36" customHeight="1" x14ac:dyDescent="0.3">
      <c r="A277" s="51" t="s">
        <v>557</v>
      </c>
      <c r="B277" s="51" t="s">
        <v>188</v>
      </c>
      <c r="C277" s="52">
        <v>3</v>
      </c>
      <c r="D277" s="52">
        <v>60</v>
      </c>
      <c r="E277" s="51" t="s">
        <v>277</v>
      </c>
      <c r="F277" s="53" t="s">
        <v>278</v>
      </c>
      <c r="G277" s="54" t="s">
        <v>279</v>
      </c>
      <c r="H277" s="51" t="s">
        <v>280</v>
      </c>
      <c r="I277" s="55"/>
    </row>
    <row r="278" spans="1:9" ht="36" customHeight="1" x14ac:dyDescent="0.3">
      <c r="A278" s="56" t="s">
        <v>558</v>
      </c>
      <c r="B278" s="56" t="s">
        <v>188</v>
      </c>
      <c r="C278" s="57">
        <v>4</v>
      </c>
      <c r="D278" s="57">
        <v>80</v>
      </c>
      <c r="E278" s="56" t="s">
        <v>282</v>
      </c>
      <c r="F278" s="58" t="s">
        <v>283</v>
      </c>
      <c r="G278" s="59" t="s">
        <v>279</v>
      </c>
      <c r="H278" s="56" t="s">
        <v>284</v>
      </c>
      <c r="I278" s="60"/>
    </row>
    <row r="279" spans="1:9" ht="36" customHeight="1" x14ac:dyDescent="0.3">
      <c r="A279" s="61" t="s">
        <v>559</v>
      </c>
      <c r="B279" s="61" t="s">
        <v>188</v>
      </c>
      <c r="C279" s="62">
        <v>5</v>
      </c>
      <c r="D279" s="62">
        <v>100</v>
      </c>
      <c r="E279" s="61" t="s">
        <v>286</v>
      </c>
      <c r="F279" s="63" t="s">
        <v>287</v>
      </c>
      <c r="G279" s="64" t="s">
        <v>288</v>
      </c>
      <c r="H279" s="61" t="s">
        <v>289</v>
      </c>
      <c r="I279" s="65"/>
    </row>
    <row r="280" spans="1:9" ht="36" customHeight="1" x14ac:dyDescent="0.3">
      <c r="A280" s="41" t="s">
        <v>560</v>
      </c>
      <c r="B280" s="41" t="s">
        <v>190</v>
      </c>
      <c r="C280" s="42">
        <v>0</v>
      </c>
      <c r="D280" s="42">
        <v>0</v>
      </c>
      <c r="E280" s="41" t="s">
        <v>265</v>
      </c>
      <c r="F280" s="43" t="s">
        <v>266</v>
      </c>
      <c r="G280" s="42" t="s">
        <v>267</v>
      </c>
      <c r="H280" s="41" t="s">
        <v>268</v>
      </c>
      <c r="I280" s="44"/>
    </row>
    <row r="281" spans="1:9" ht="36" customHeight="1" x14ac:dyDescent="0.3">
      <c r="A281" s="41" t="s">
        <v>561</v>
      </c>
      <c r="B281" s="41" t="s">
        <v>190</v>
      </c>
      <c r="C281" s="45">
        <v>1</v>
      </c>
      <c r="D281" s="45">
        <v>20</v>
      </c>
      <c r="E281" s="41" t="s">
        <v>270</v>
      </c>
      <c r="F281" s="43" t="s">
        <v>271</v>
      </c>
      <c r="G281" s="42" t="s">
        <v>267</v>
      </c>
      <c r="H281" s="41" t="s">
        <v>272</v>
      </c>
      <c r="I281" s="44"/>
    </row>
    <row r="282" spans="1:9" ht="36" customHeight="1" x14ac:dyDescent="0.3">
      <c r="A282" s="46" t="s">
        <v>562</v>
      </c>
      <c r="B282" s="46" t="s">
        <v>190</v>
      </c>
      <c r="C282" s="47">
        <v>2</v>
      </c>
      <c r="D282" s="47">
        <v>40</v>
      </c>
      <c r="E282" s="46" t="s">
        <v>274</v>
      </c>
      <c r="F282" s="48" t="s">
        <v>275</v>
      </c>
      <c r="G282" s="49" t="s">
        <v>267</v>
      </c>
      <c r="H282" s="46" t="s">
        <v>272</v>
      </c>
      <c r="I282" s="50"/>
    </row>
    <row r="283" spans="1:9" ht="36" customHeight="1" x14ac:dyDescent="0.3">
      <c r="A283" s="51" t="s">
        <v>563</v>
      </c>
      <c r="B283" s="51" t="s">
        <v>190</v>
      </c>
      <c r="C283" s="52">
        <v>3</v>
      </c>
      <c r="D283" s="52">
        <v>60</v>
      </c>
      <c r="E283" s="51" t="s">
        <v>277</v>
      </c>
      <c r="F283" s="53" t="s">
        <v>278</v>
      </c>
      <c r="G283" s="54" t="s">
        <v>279</v>
      </c>
      <c r="H283" s="51" t="s">
        <v>280</v>
      </c>
      <c r="I283" s="55"/>
    </row>
    <row r="284" spans="1:9" ht="36" customHeight="1" x14ac:dyDescent="0.3">
      <c r="A284" s="56" t="s">
        <v>564</v>
      </c>
      <c r="B284" s="56" t="s">
        <v>190</v>
      </c>
      <c r="C284" s="57">
        <v>4</v>
      </c>
      <c r="D284" s="57">
        <v>80</v>
      </c>
      <c r="E284" s="56" t="s">
        <v>282</v>
      </c>
      <c r="F284" s="58" t="s">
        <v>283</v>
      </c>
      <c r="G284" s="59" t="s">
        <v>279</v>
      </c>
      <c r="H284" s="56" t="s">
        <v>284</v>
      </c>
      <c r="I284" s="60"/>
    </row>
    <row r="285" spans="1:9" ht="36" customHeight="1" x14ac:dyDescent="0.3">
      <c r="A285" s="61" t="s">
        <v>565</v>
      </c>
      <c r="B285" s="61" t="s">
        <v>190</v>
      </c>
      <c r="C285" s="62">
        <v>5</v>
      </c>
      <c r="D285" s="62">
        <v>100</v>
      </c>
      <c r="E285" s="61" t="s">
        <v>286</v>
      </c>
      <c r="F285" s="63" t="s">
        <v>287</v>
      </c>
      <c r="G285" s="64" t="s">
        <v>288</v>
      </c>
      <c r="H285" s="61" t="s">
        <v>289</v>
      </c>
      <c r="I285" s="65"/>
    </row>
    <row r="286" spans="1:9" ht="36" customHeight="1" x14ac:dyDescent="0.3">
      <c r="A286" s="41" t="s">
        <v>566</v>
      </c>
      <c r="B286" s="41" t="s">
        <v>192</v>
      </c>
      <c r="C286" s="42">
        <v>0</v>
      </c>
      <c r="D286" s="42">
        <v>0</v>
      </c>
      <c r="E286" s="41" t="s">
        <v>265</v>
      </c>
      <c r="F286" s="43" t="s">
        <v>266</v>
      </c>
      <c r="G286" s="42" t="s">
        <v>267</v>
      </c>
      <c r="H286" s="41" t="s">
        <v>268</v>
      </c>
      <c r="I286" s="44"/>
    </row>
    <row r="287" spans="1:9" ht="36" customHeight="1" x14ac:dyDescent="0.3">
      <c r="A287" s="41" t="s">
        <v>567</v>
      </c>
      <c r="B287" s="41" t="s">
        <v>192</v>
      </c>
      <c r="C287" s="45">
        <v>1</v>
      </c>
      <c r="D287" s="45">
        <v>20</v>
      </c>
      <c r="E287" s="41" t="s">
        <v>270</v>
      </c>
      <c r="F287" s="43" t="s">
        <v>271</v>
      </c>
      <c r="G287" s="42" t="s">
        <v>267</v>
      </c>
      <c r="H287" s="41" t="s">
        <v>272</v>
      </c>
      <c r="I287" s="44"/>
    </row>
    <row r="288" spans="1:9" ht="36" customHeight="1" x14ac:dyDescent="0.3">
      <c r="A288" s="46" t="s">
        <v>568</v>
      </c>
      <c r="B288" s="46" t="s">
        <v>192</v>
      </c>
      <c r="C288" s="47">
        <v>2</v>
      </c>
      <c r="D288" s="47">
        <v>40</v>
      </c>
      <c r="E288" s="46" t="s">
        <v>274</v>
      </c>
      <c r="F288" s="48" t="s">
        <v>275</v>
      </c>
      <c r="G288" s="49" t="s">
        <v>267</v>
      </c>
      <c r="H288" s="46" t="s">
        <v>272</v>
      </c>
      <c r="I288" s="50"/>
    </row>
    <row r="289" spans="1:9" ht="36" customHeight="1" x14ac:dyDescent="0.3">
      <c r="A289" s="51" t="s">
        <v>569</v>
      </c>
      <c r="B289" s="51" t="s">
        <v>192</v>
      </c>
      <c r="C289" s="52">
        <v>3</v>
      </c>
      <c r="D289" s="52">
        <v>60</v>
      </c>
      <c r="E289" s="51" t="s">
        <v>277</v>
      </c>
      <c r="F289" s="53" t="s">
        <v>278</v>
      </c>
      <c r="G289" s="54" t="s">
        <v>279</v>
      </c>
      <c r="H289" s="51" t="s">
        <v>280</v>
      </c>
      <c r="I289" s="55"/>
    </row>
    <row r="290" spans="1:9" ht="36" customHeight="1" x14ac:dyDescent="0.3">
      <c r="A290" s="56" t="s">
        <v>570</v>
      </c>
      <c r="B290" s="56" t="s">
        <v>192</v>
      </c>
      <c r="C290" s="57">
        <v>4</v>
      </c>
      <c r="D290" s="57">
        <v>80</v>
      </c>
      <c r="E290" s="56" t="s">
        <v>282</v>
      </c>
      <c r="F290" s="58" t="s">
        <v>283</v>
      </c>
      <c r="G290" s="59" t="s">
        <v>279</v>
      </c>
      <c r="H290" s="56" t="s">
        <v>284</v>
      </c>
      <c r="I290" s="60"/>
    </row>
    <row r="291" spans="1:9" ht="36" customHeight="1" x14ac:dyDescent="0.3">
      <c r="A291" s="61" t="s">
        <v>571</v>
      </c>
      <c r="B291" s="61" t="s">
        <v>192</v>
      </c>
      <c r="C291" s="62">
        <v>5</v>
      </c>
      <c r="D291" s="62">
        <v>100</v>
      </c>
      <c r="E291" s="61" t="s">
        <v>286</v>
      </c>
      <c r="F291" s="63" t="s">
        <v>287</v>
      </c>
      <c r="G291" s="64" t="s">
        <v>288</v>
      </c>
      <c r="H291" s="61" t="s">
        <v>289</v>
      </c>
      <c r="I291" s="65"/>
    </row>
    <row r="292" spans="1:9" ht="36" customHeight="1" x14ac:dyDescent="0.3">
      <c r="A292" s="41" t="s">
        <v>572</v>
      </c>
      <c r="B292" s="41" t="s">
        <v>194</v>
      </c>
      <c r="C292" s="42">
        <v>0</v>
      </c>
      <c r="D292" s="42">
        <v>0</v>
      </c>
      <c r="E292" s="41" t="s">
        <v>265</v>
      </c>
      <c r="F292" s="43" t="s">
        <v>266</v>
      </c>
      <c r="G292" s="42" t="s">
        <v>267</v>
      </c>
      <c r="H292" s="41" t="s">
        <v>268</v>
      </c>
      <c r="I292" s="44"/>
    </row>
    <row r="293" spans="1:9" ht="36" customHeight="1" x14ac:dyDescent="0.3">
      <c r="A293" s="41" t="s">
        <v>573</v>
      </c>
      <c r="B293" s="41" t="s">
        <v>194</v>
      </c>
      <c r="C293" s="45">
        <v>1</v>
      </c>
      <c r="D293" s="45">
        <v>20</v>
      </c>
      <c r="E293" s="41" t="s">
        <v>270</v>
      </c>
      <c r="F293" s="43" t="s">
        <v>271</v>
      </c>
      <c r="G293" s="42" t="s">
        <v>267</v>
      </c>
      <c r="H293" s="41" t="s">
        <v>272</v>
      </c>
      <c r="I293" s="44"/>
    </row>
    <row r="294" spans="1:9" ht="36" customHeight="1" x14ac:dyDescent="0.3">
      <c r="A294" s="46" t="s">
        <v>574</v>
      </c>
      <c r="B294" s="46" t="s">
        <v>194</v>
      </c>
      <c r="C294" s="47">
        <v>2</v>
      </c>
      <c r="D294" s="47">
        <v>40</v>
      </c>
      <c r="E294" s="46" t="s">
        <v>274</v>
      </c>
      <c r="F294" s="48" t="s">
        <v>275</v>
      </c>
      <c r="G294" s="49" t="s">
        <v>267</v>
      </c>
      <c r="H294" s="46" t="s">
        <v>272</v>
      </c>
      <c r="I294" s="50"/>
    </row>
    <row r="295" spans="1:9" ht="36" customHeight="1" x14ac:dyDescent="0.3">
      <c r="A295" s="51" t="s">
        <v>575</v>
      </c>
      <c r="B295" s="51" t="s">
        <v>194</v>
      </c>
      <c r="C295" s="52">
        <v>3</v>
      </c>
      <c r="D295" s="52">
        <v>60</v>
      </c>
      <c r="E295" s="51" t="s">
        <v>277</v>
      </c>
      <c r="F295" s="53" t="s">
        <v>278</v>
      </c>
      <c r="G295" s="54" t="s">
        <v>279</v>
      </c>
      <c r="H295" s="51" t="s">
        <v>280</v>
      </c>
      <c r="I295" s="55"/>
    </row>
    <row r="296" spans="1:9" ht="36" customHeight="1" x14ac:dyDescent="0.3">
      <c r="A296" s="56" t="s">
        <v>576</v>
      </c>
      <c r="B296" s="56" t="s">
        <v>194</v>
      </c>
      <c r="C296" s="57">
        <v>4</v>
      </c>
      <c r="D296" s="57">
        <v>80</v>
      </c>
      <c r="E296" s="56" t="s">
        <v>282</v>
      </c>
      <c r="F296" s="58" t="s">
        <v>283</v>
      </c>
      <c r="G296" s="59" t="s">
        <v>279</v>
      </c>
      <c r="H296" s="56" t="s">
        <v>284</v>
      </c>
      <c r="I296" s="60"/>
    </row>
    <row r="297" spans="1:9" ht="36" customHeight="1" x14ac:dyDescent="0.3">
      <c r="A297" s="61" t="s">
        <v>577</v>
      </c>
      <c r="B297" s="61" t="s">
        <v>194</v>
      </c>
      <c r="C297" s="62">
        <v>5</v>
      </c>
      <c r="D297" s="62">
        <v>100</v>
      </c>
      <c r="E297" s="61" t="s">
        <v>286</v>
      </c>
      <c r="F297" s="63" t="s">
        <v>287</v>
      </c>
      <c r="G297" s="64" t="s">
        <v>288</v>
      </c>
      <c r="H297" s="61" t="s">
        <v>289</v>
      </c>
      <c r="I297" s="65"/>
    </row>
    <row r="298" spans="1:9" ht="36" customHeight="1" x14ac:dyDescent="0.3">
      <c r="A298" s="41" t="s">
        <v>578</v>
      </c>
      <c r="B298" s="41" t="s">
        <v>196</v>
      </c>
      <c r="C298" s="42">
        <v>0</v>
      </c>
      <c r="D298" s="42">
        <v>0</v>
      </c>
      <c r="E298" s="41" t="s">
        <v>265</v>
      </c>
      <c r="F298" s="43" t="s">
        <v>266</v>
      </c>
      <c r="G298" s="42" t="s">
        <v>267</v>
      </c>
      <c r="H298" s="41" t="s">
        <v>268</v>
      </c>
      <c r="I298" s="44"/>
    </row>
    <row r="299" spans="1:9" ht="36" customHeight="1" x14ac:dyDescent="0.3">
      <c r="A299" s="41" t="s">
        <v>579</v>
      </c>
      <c r="B299" s="41" t="s">
        <v>196</v>
      </c>
      <c r="C299" s="45">
        <v>1</v>
      </c>
      <c r="D299" s="45">
        <v>20</v>
      </c>
      <c r="E299" s="41" t="s">
        <v>270</v>
      </c>
      <c r="F299" s="43" t="s">
        <v>271</v>
      </c>
      <c r="G299" s="42" t="s">
        <v>267</v>
      </c>
      <c r="H299" s="41" t="s">
        <v>272</v>
      </c>
      <c r="I299" s="44"/>
    </row>
    <row r="300" spans="1:9" ht="36" customHeight="1" x14ac:dyDescent="0.3">
      <c r="A300" s="46" t="s">
        <v>580</v>
      </c>
      <c r="B300" s="46" t="s">
        <v>196</v>
      </c>
      <c r="C300" s="47">
        <v>2</v>
      </c>
      <c r="D300" s="47">
        <v>40</v>
      </c>
      <c r="E300" s="46" t="s">
        <v>274</v>
      </c>
      <c r="F300" s="48" t="s">
        <v>275</v>
      </c>
      <c r="G300" s="49" t="s">
        <v>267</v>
      </c>
      <c r="H300" s="46" t="s">
        <v>272</v>
      </c>
      <c r="I300" s="50"/>
    </row>
    <row r="301" spans="1:9" ht="36" customHeight="1" x14ac:dyDescent="0.3">
      <c r="A301" s="51" t="s">
        <v>581</v>
      </c>
      <c r="B301" s="51" t="s">
        <v>196</v>
      </c>
      <c r="C301" s="52">
        <v>3</v>
      </c>
      <c r="D301" s="52">
        <v>60</v>
      </c>
      <c r="E301" s="51" t="s">
        <v>277</v>
      </c>
      <c r="F301" s="53" t="s">
        <v>278</v>
      </c>
      <c r="G301" s="54" t="s">
        <v>279</v>
      </c>
      <c r="H301" s="51" t="s">
        <v>280</v>
      </c>
      <c r="I301" s="55"/>
    </row>
    <row r="302" spans="1:9" ht="36" customHeight="1" x14ac:dyDescent="0.3">
      <c r="A302" s="56" t="s">
        <v>582</v>
      </c>
      <c r="B302" s="56" t="s">
        <v>196</v>
      </c>
      <c r="C302" s="57">
        <v>4</v>
      </c>
      <c r="D302" s="57">
        <v>80</v>
      </c>
      <c r="E302" s="56" t="s">
        <v>282</v>
      </c>
      <c r="F302" s="58" t="s">
        <v>283</v>
      </c>
      <c r="G302" s="59" t="s">
        <v>279</v>
      </c>
      <c r="H302" s="56" t="s">
        <v>284</v>
      </c>
      <c r="I302" s="60"/>
    </row>
    <row r="303" spans="1:9" ht="36" customHeight="1" x14ac:dyDescent="0.3">
      <c r="A303" s="61" t="s">
        <v>583</v>
      </c>
      <c r="B303" s="61" t="s">
        <v>196</v>
      </c>
      <c r="C303" s="62">
        <v>5</v>
      </c>
      <c r="D303" s="62">
        <v>100</v>
      </c>
      <c r="E303" s="61" t="s">
        <v>286</v>
      </c>
      <c r="F303" s="63" t="s">
        <v>287</v>
      </c>
      <c r="G303" s="64" t="s">
        <v>288</v>
      </c>
      <c r="H303" s="61" t="s">
        <v>289</v>
      </c>
      <c r="I303" s="65"/>
    </row>
    <row r="304" spans="1:9" ht="36" customHeight="1" x14ac:dyDescent="0.3">
      <c r="A304" s="41" t="s">
        <v>584</v>
      </c>
      <c r="B304" s="41" t="s">
        <v>198</v>
      </c>
      <c r="C304" s="42">
        <v>0</v>
      </c>
      <c r="D304" s="42">
        <v>0</v>
      </c>
      <c r="E304" s="41" t="s">
        <v>265</v>
      </c>
      <c r="F304" s="43" t="s">
        <v>266</v>
      </c>
      <c r="G304" s="42" t="s">
        <v>267</v>
      </c>
      <c r="H304" s="41" t="s">
        <v>268</v>
      </c>
      <c r="I304" s="44"/>
    </row>
    <row r="305" spans="1:9" ht="36" customHeight="1" x14ac:dyDescent="0.3">
      <c r="A305" s="41" t="s">
        <v>585</v>
      </c>
      <c r="B305" s="41" t="s">
        <v>198</v>
      </c>
      <c r="C305" s="45">
        <v>1</v>
      </c>
      <c r="D305" s="45">
        <v>20</v>
      </c>
      <c r="E305" s="41" t="s">
        <v>270</v>
      </c>
      <c r="F305" s="43" t="s">
        <v>271</v>
      </c>
      <c r="G305" s="42" t="s">
        <v>267</v>
      </c>
      <c r="H305" s="41" t="s">
        <v>272</v>
      </c>
      <c r="I305" s="44"/>
    </row>
    <row r="306" spans="1:9" ht="36" customHeight="1" x14ac:dyDescent="0.3">
      <c r="A306" s="46" t="s">
        <v>586</v>
      </c>
      <c r="B306" s="46" t="s">
        <v>198</v>
      </c>
      <c r="C306" s="47">
        <v>2</v>
      </c>
      <c r="D306" s="47">
        <v>40</v>
      </c>
      <c r="E306" s="46" t="s">
        <v>274</v>
      </c>
      <c r="F306" s="48" t="s">
        <v>275</v>
      </c>
      <c r="G306" s="49" t="s">
        <v>267</v>
      </c>
      <c r="H306" s="46" t="s">
        <v>272</v>
      </c>
      <c r="I306" s="50"/>
    </row>
    <row r="307" spans="1:9" ht="36" customHeight="1" x14ac:dyDescent="0.3">
      <c r="A307" s="51" t="s">
        <v>587</v>
      </c>
      <c r="B307" s="51" t="s">
        <v>198</v>
      </c>
      <c r="C307" s="52">
        <v>3</v>
      </c>
      <c r="D307" s="52">
        <v>60</v>
      </c>
      <c r="E307" s="51" t="s">
        <v>277</v>
      </c>
      <c r="F307" s="53" t="s">
        <v>278</v>
      </c>
      <c r="G307" s="54" t="s">
        <v>279</v>
      </c>
      <c r="H307" s="51" t="s">
        <v>280</v>
      </c>
      <c r="I307" s="55"/>
    </row>
    <row r="308" spans="1:9" ht="36" customHeight="1" x14ac:dyDescent="0.3">
      <c r="A308" s="56" t="s">
        <v>588</v>
      </c>
      <c r="B308" s="56" t="s">
        <v>198</v>
      </c>
      <c r="C308" s="57">
        <v>4</v>
      </c>
      <c r="D308" s="57">
        <v>80</v>
      </c>
      <c r="E308" s="56" t="s">
        <v>282</v>
      </c>
      <c r="F308" s="58" t="s">
        <v>283</v>
      </c>
      <c r="G308" s="59" t="s">
        <v>279</v>
      </c>
      <c r="H308" s="56" t="s">
        <v>284</v>
      </c>
      <c r="I308" s="60"/>
    </row>
    <row r="309" spans="1:9" ht="36" customHeight="1" x14ac:dyDescent="0.3">
      <c r="A309" s="61" t="s">
        <v>589</v>
      </c>
      <c r="B309" s="61" t="s">
        <v>198</v>
      </c>
      <c r="C309" s="62">
        <v>5</v>
      </c>
      <c r="D309" s="62">
        <v>100</v>
      </c>
      <c r="E309" s="61" t="s">
        <v>286</v>
      </c>
      <c r="F309" s="63" t="s">
        <v>287</v>
      </c>
      <c r="G309" s="64" t="s">
        <v>288</v>
      </c>
      <c r="H309" s="61" t="s">
        <v>289</v>
      </c>
      <c r="I309" s="65"/>
    </row>
    <row r="310" spans="1:9" ht="36" customHeight="1" x14ac:dyDescent="0.3">
      <c r="A310" s="41" t="s">
        <v>590</v>
      </c>
      <c r="B310" s="41" t="s">
        <v>200</v>
      </c>
      <c r="C310" s="42">
        <v>0</v>
      </c>
      <c r="D310" s="42">
        <v>0</v>
      </c>
      <c r="E310" s="41" t="s">
        <v>265</v>
      </c>
      <c r="F310" s="43" t="s">
        <v>266</v>
      </c>
      <c r="G310" s="42" t="s">
        <v>267</v>
      </c>
      <c r="H310" s="41" t="s">
        <v>268</v>
      </c>
      <c r="I310" s="44"/>
    </row>
    <row r="311" spans="1:9" ht="36" customHeight="1" x14ac:dyDescent="0.3">
      <c r="A311" s="41" t="s">
        <v>591</v>
      </c>
      <c r="B311" s="41" t="s">
        <v>200</v>
      </c>
      <c r="C311" s="45">
        <v>1</v>
      </c>
      <c r="D311" s="45">
        <v>20</v>
      </c>
      <c r="E311" s="41" t="s">
        <v>270</v>
      </c>
      <c r="F311" s="43" t="s">
        <v>271</v>
      </c>
      <c r="G311" s="42" t="s">
        <v>267</v>
      </c>
      <c r="H311" s="41" t="s">
        <v>272</v>
      </c>
      <c r="I311" s="44"/>
    </row>
    <row r="312" spans="1:9" ht="36" customHeight="1" x14ac:dyDescent="0.3">
      <c r="A312" s="46" t="s">
        <v>592</v>
      </c>
      <c r="B312" s="46" t="s">
        <v>200</v>
      </c>
      <c r="C312" s="47">
        <v>2</v>
      </c>
      <c r="D312" s="47">
        <v>40</v>
      </c>
      <c r="E312" s="46" t="s">
        <v>274</v>
      </c>
      <c r="F312" s="48" t="s">
        <v>275</v>
      </c>
      <c r="G312" s="49" t="s">
        <v>267</v>
      </c>
      <c r="H312" s="46" t="s">
        <v>272</v>
      </c>
      <c r="I312" s="50"/>
    </row>
    <row r="313" spans="1:9" ht="36" customHeight="1" x14ac:dyDescent="0.3">
      <c r="A313" s="51" t="s">
        <v>593</v>
      </c>
      <c r="B313" s="51" t="s">
        <v>200</v>
      </c>
      <c r="C313" s="52">
        <v>3</v>
      </c>
      <c r="D313" s="52">
        <v>60</v>
      </c>
      <c r="E313" s="51" t="s">
        <v>277</v>
      </c>
      <c r="F313" s="53" t="s">
        <v>278</v>
      </c>
      <c r="G313" s="54" t="s">
        <v>279</v>
      </c>
      <c r="H313" s="51" t="s">
        <v>280</v>
      </c>
      <c r="I313" s="55"/>
    </row>
    <row r="314" spans="1:9" ht="36" customHeight="1" x14ac:dyDescent="0.3">
      <c r="A314" s="56" t="s">
        <v>594</v>
      </c>
      <c r="B314" s="56" t="s">
        <v>200</v>
      </c>
      <c r="C314" s="57">
        <v>4</v>
      </c>
      <c r="D314" s="57">
        <v>80</v>
      </c>
      <c r="E314" s="56" t="s">
        <v>282</v>
      </c>
      <c r="F314" s="58" t="s">
        <v>283</v>
      </c>
      <c r="G314" s="59" t="s">
        <v>279</v>
      </c>
      <c r="H314" s="56" t="s">
        <v>284</v>
      </c>
      <c r="I314" s="60"/>
    </row>
    <row r="315" spans="1:9" ht="36" customHeight="1" x14ac:dyDescent="0.3">
      <c r="A315" s="61" t="s">
        <v>595</v>
      </c>
      <c r="B315" s="61" t="s">
        <v>200</v>
      </c>
      <c r="C315" s="62">
        <v>5</v>
      </c>
      <c r="D315" s="62">
        <v>100</v>
      </c>
      <c r="E315" s="61" t="s">
        <v>286</v>
      </c>
      <c r="F315" s="63" t="s">
        <v>287</v>
      </c>
      <c r="G315" s="64" t="s">
        <v>288</v>
      </c>
      <c r="H315" s="61" t="s">
        <v>289</v>
      </c>
      <c r="I315" s="65"/>
    </row>
    <row r="316" spans="1:9" ht="36" customHeight="1" x14ac:dyDescent="0.3">
      <c r="A316" s="41" t="s">
        <v>596</v>
      </c>
      <c r="B316" s="41" t="s">
        <v>202</v>
      </c>
      <c r="C316" s="42">
        <v>0</v>
      </c>
      <c r="D316" s="42">
        <v>0</v>
      </c>
      <c r="E316" s="41" t="s">
        <v>265</v>
      </c>
      <c r="F316" s="43" t="s">
        <v>266</v>
      </c>
      <c r="G316" s="42" t="s">
        <v>267</v>
      </c>
      <c r="H316" s="41" t="s">
        <v>268</v>
      </c>
      <c r="I316" s="44"/>
    </row>
    <row r="317" spans="1:9" ht="36" customHeight="1" x14ac:dyDescent="0.3">
      <c r="A317" s="41" t="s">
        <v>597</v>
      </c>
      <c r="B317" s="41" t="s">
        <v>202</v>
      </c>
      <c r="C317" s="45">
        <v>1</v>
      </c>
      <c r="D317" s="45">
        <v>20</v>
      </c>
      <c r="E317" s="41" t="s">
        <v>270</v>
      </c>
      <c r="F317" s="43" t="s">
        <v>271</v>
      </c>
      <c r="G317" s="42" t="s">
        <v>267</v>
      </c>
      <c r="H317" s="41" t="s">
        <v>272</v>
      </c>
      <c r="I317" s="44"/>
    </row>
    <row r="318" spans="1:9" ht="36" customHeight="1" x14ac:dyDescent="0.3">
      <c r="A318" s="46" t="s">
        <v>598</v>
      </c>
      <c r="B318" s="46" t="s">
        <v>202</v>
      </c>
      <c r="C318" s="47">
        <v>2</v>
      </c>
      <c r="D318" s="47">
        <v>40</v>
      </c>
      <c r="E318" s="46" t="s">
        <v>274</v>
      </c>
      <c r="F318" s="48" t="s">
        <v>275</v>
      </c>
      <c r="G318" s="49" t="s">
        <v>267</v>
      </c>
      <c r="H318" s="46" t="s">
        <v>272</v>
      </c>
      <c r="I318" s="50"/>
    </row>
    <row r="319" spans="1:9" ht="36" customHeight="1" x14ac:dyDescent="0.3">
      <c r="A319" s="51" t="s">
        <v>599</v>
      </c>
      <c r="B319" s="51" t="s">
        <v>202</v>
      </c>
      <c r="C319" s="52">
        <v>3</v>
      </c>
      <c r="D319" s="52">
        <v>60</v>
      </c>
      <c r="E319" s="51" t="s">
        <v>277</v>
      </c>
      <c r="F319" s="53" t="s">
        <v>278</v>
      </c>
      <c r="G319" s="54" t="s">
        <v>279</v>
      </c>
      <c r="H319" s="51" t="s">
        <v>280</v>
      </c>
      <c r="I319" s="55"/>
    </row>
    <row r="320" spans="1:9" ht="36" customHeight="1" x14ac:dyDescent="0.3">
      <c r="A320" s="56" t="s">
        <v>600</v>
      </c>
      <c r="B320" s="56" t="s">
        <v>202</v>
      </c>
      <c r="C320" s="57">
        <v>4</v>
      </c>
      <c r="D320" s="57">
        <v>80</v>
      </c>
      <c r="E320" s="56" t="s">
        <v>282</v>
      </c>
      <c r="F320" s="58" t="s">
        <v>283</v>
      </c>
      <c r="G320" s="59" t="s">
        <v>279</v>
      </c>
      <c r="H320" s="56" t="s">
        <v>284</v>
      </c>
      <c r="I320" s="60"/>
    </row>
    <row r="321" spans="1:9" ht="36" customHeight="1" x14ac:dyDescent="0.3">
      <c r="A321" s="61" t="s">
        <v>601</v>
      </c>
      <c r="B321" s="61" t="s">
        <v>202</v>
      </c>
      <c r="C321" s="62">
        <v>5</v>
      </c>
      <c r="D321" s="62">
        <v>100</v>
      </c>
      <c r="E321" s="61" t="s">
        <v>286</v>
      </c>
      <c r="F321" s="63" t="s">
        <v>287</v>
      </c>
      <c r="G321" s="64" t="s">
        <v>288</v>
      </c>
      <c r="H321" s="61" t="s">
        <v>289</v>
      </c>
      <c r="I321" s="65"/>
    </row>
    <row r="322" spans="1:9" ht="36" customHeight="1" x14ac:dyDescent="0.3">
      <c r="A322" s="41" t="s">
        <v>602</v>
      </c>
      <c r="B322" s="41" t="s">
        <v>204</v>
      </c>
      <c r="C322" s="42">
        <v>0</v>
      </c>
      <c r="D322" s="42">
        <v>0</v>
      </c>
      <c r="E322" s="41" t="s">
        <v>265</v>
      </c>
      <c r="F322" s="43" t="s">
        <v>266</v>
      </c>
      <c r="G322" s="42" t="s">
        <v>267</v>
      </c>
      <c r="H322" s="41" t="s">
        <v>268</v>
      </c>
      <c r="I322" s="44"/>
    </row>
    <row r="323" spans="1:9" ht="36" customHeight="1" x14ac:dyDescent="0.3">
      <c r="A323" s="41" t="s">
        <v>603</v>
      </c>
      <c r="B323" s="41" t="s">
        <v>204</v>
      </c>
      <c r="C323" s="45">
        <v>1</v>
      </c>
      <c r="D323" s="45">
        <v>20</v>
      </c>
      <c r="E323" s="41" t="s">
        <v>270</v>
      </c>
      <c r="F323" s="43" t="s">
        <v>271</v>
      </c>
      <c r="G323" s="42" t="s">
        <v>267</v>
      </c>
      <c r="H323" s="41" t="s">
        <v>272</v>
      </c>
      <c r="I323" s="44"/>
    </row>
    <row r="324" spans="1:9" ht="36" customHeight="1" x14ac:dyDescent="0.3">
      <c r="A324" s="46" t="s">
        <v>604</v>
      </c>
      <c r="B324" s="46" t="s">
        <v>204</v>
      </c>
      <c r="C324" s="47">
        <v>2</v>
      </c>
      <c r="D324" s="47">
        <v>40</v>
      </c>
      <c r="E324" s="46" t="s">
        <v>274</v>
      </c>
      <c r="F324" s="48" t="s">
        <v>275</v>
      </c>
      <c r="G324" s="49" t="s">
        <v>267</v>
      </c>
      <c r="H324" s="46" t="s">
        <v>272</v>
      </c>
      <c r="I324" s="50"/>
    </row>
    <row r="325" spans="1:9" ht="36" customHeight="1" x14ac:dyDescent="0.3">
      <c r="A325" s="51" t="s">
        <v>605</v>
      </c>
      <c r="B325" s="51" t="s">
        <v>204</v>
      </c>
      <c r="C325" s="52">
        <v>3</v>
      </c>
      <c r="D325" s="52">
        <v>60</v>
      </c>
      <c r="E325" s="51" t="s">
        <v>277</v>
      </c>
      <c r="F325" s="53" t="s">
        <v>278</v>
      </c>
      <c r="G325" s="54" t="s">
        <v>279</v>
      </c>
      <c r="H325" s="51" t="s">
        <v>280</v>
      </c>
      <c r="I325" s="55"/>
    </row>
    <row r="326" spans="1:9" ht="36" customHeight="1" x14ac:dyDescent="0.3">
      <c r="A326" s="56" t="s">
        <v>606</v>
      </c>
      <c r="B326" s="56" t="s">
        <v>204</v>
      </c>
      <c r="C326" s="57">
        <v>4</v>
      </c>
      <c r="D326" s="57">
        <v>80</v>
      </c>
      <c r="E326" s="56" t="s">
        <v>282</v>
      </c>
      <c r="F326" s="58" t="s">
        <v>283</v>
      </c>
      <c r="G326" s="59" t="s">
        <v>279</v>
      </c>
      <c r="H326" s="56" t="s">
        <v>284</v>
      </c>
      <c r="I326" s="60"/>
    </row>
    <row r="327" spans="1:9" ht="36" customHeight="1" x14ac:dyDescent="0.3">
      <c r="A327" s="61" t="s">
        <v>607</v>
      </c>
      <c r="B327" s="61" t="s">
        <v>204</v>
      </c>
      <c r="C327" s="62">
        <v>5</v>
      </c>
      <c r="D327" s="62">
        <v>100</v>
      </c>
      <c r="E327" s="61" t="s">
        <v>286</v>
      </c>
      <c r="F327" s="63" t="s">
        <v>287</v>
      </c>
      <c r="G327" s="64" t="s">
        <v>288</v>
      </c>
      <c r="H327" s="61" t="s">
        <v>289</v>
      </c>
      <c r="I327" s="65"/>
    </row>
    <row r="328" spans="1:9" ht="36" customHeight="1" x14ac:dyDescent="0.3">
      <c r="A328" s="41" t="s">
        <v>608</v>
      </c>
      <c r="B328" s="41" t="s">
        <v>206</v>
      </c>
      <c r="C328" s="42">
        <v>0</v>
      </c>
      <c r="D328" s="42">
        <v>0</v>
      </c>
      <c r="E328" s="41" t="s">
        <v>265</v>
      </c>
      <c r="F328" s="43" t="s">
        <v>266</v>
      </c>
      <c r="G328" s="42" t="s">
        <v>267</v>
      </c>
      <c r="H328" s="41" t="s">
        <v>268</v>
      </c>
      <c r="I328" s="44"/>
    </row>
    <row r="329" spans="1:9" ht="36" customHeight="1" x14ac:dyDescent="0.3">
      <c r="A329" s="41" t="s">
        <v>609</v>
      </c>
      <c r="B329" s="41" t="s">
        <v>206</v>
      </c>
      <c r="C329" s="45">
        <v>1</v>
      </c>
      <c r="D329" s="45">
        <v>20</v>
      </c>
      <c r="E329" s="41" t="s">
        <v>270</v>
      </c>
      <c r="F329" s="43" t="s">
        <v>271</v>
      </c>
      <c r="G329" s="42" t="s">
        <v>267</v>
      </c>
      <c r="H329" s="41" t="s">
        <v>272</v>
      </c>
      <c r="I329" s="44"/>
    </row>
    <row r="330" spans="1:9" ht="36" customHeight="1" x14ac:dyDescent="0.3">
      <c r="A330" s="46" t="s">
        <v>610</v>
      </c>
      <c r="B330" s="46" t="s">
        <v>206</v>
      </c>
      <c r="C330" s="47">
        <v>2</v>
      </c>
      <c r="D330" s="47">
        <v>40</v>
      </c>
      <c r="E330" s="46" t="s">
        <v>274</v>
      </c>
      <c r="F330" s="48" t="s">
        <v>275</v>
      </c>
      <c r="G330" s="49" t="s">
        <v>267</v>
      </c>
      <c r="H330" s="46" t="s">
        <v>272</v>
      </c>
      <c r="I330" s="50"/>
    </row>
    <row r="331" spans="1:9" ht="36" customHeight="1" x14ac:dyDescent="0.3">
      <c r="A331" s="51" t="s">
        <v>611</v>
      </c>
      <c r="B331" s="51" t="s">
        <v>206</v>
      </c>
      <c r="C331" s="52">
        <v>3</v>
      </c>
      <c r="D331" s="52">
        <v>60</v>
      </c>
      <c r="E331" s="51" t="s">
        <v>277</v>
      </c>
      <c r="F331" s="53" t="s">
        <v>278</v>
      </c>
      <c r="G331" s="54" t="s">
        <v>279</v>
      </c>
      <c r="H331" s="51" t="s">
        <v>280</v>
      </c>
      <c r="I331" s="55"/>
    </row>
    <row r="332" spans="1:9" ht="36" customHeight="1" x14ac:dyDescent="0.3">
      <c r="A332" s="56" t="s">
        <v>612</v>
      </c>
      <c r="B332" s="56" t="s">
        <v>206</v>
      </c>
      <c r="C332" s="57">
        <v>4</v>
      </c>
      <c r="D332" s="57">
        <v>80</v>
      </c>
      <c r="E332" s="56" t="s">
        <v>282</v>
      </c>
      <c r="F332" s="58" t="s">
        <v>283</v>
      </c>
      <c r="G332" s="59" t="s">
        <v>279</v>
      </c>
      <c r="H332" s="56" t="s">
        <v>284</v>
      </c>
      <c r="I332" s="60"/>
    </row>
    <row r="333" spans="1:9" ht="36" customHeight="1" x14ac:dyDescent="0.3">
      <c r="A333" s="61" t="s">
        <v>613</v>
      </c>
      <c r="B333" s="61" t="s">
        <v>206</v>
      </c>
      <c r="C333" s="62">
        <v>5</v>
      </c>
      <c r="D333" s="62">
        <v>100</v>
      </c>
      <c r="E333" s="61" t="s">
        <v>286</v>
      </c>
      <c r="F333" s="63" t="s">
        <v>287</v>
      </c>
      <c r="G333" s="64" t="s">
        <v>288</v>
      </c>
      <c r="H333" s="61" t="s">
        <v>289</v>
      </c>
      <c r="I333" s="65"/>
    </row>
    <row r="334" spans="1:9" ht="36" customHeight="1" x14ac:dyDescent="0.3">
      <c r="A334" s="41" t="s">
        <v>614</v>
      </c>
      <c r="B334" s="41" t="s">
        <v>208</v>
      </c>
      <c r="C334" s="42">
        <v>0</v>
      </c>
      <c r="D334" s="42">
        <v>0</v>
      </c>
      <c r="E334" s="41" t="s">
        <v>265</v>
      </c>
      <c r="F334" s="43" t="s">
        <v>266</v>
      </c>
      <c r="G334" s="42" t="s">
        <v>267</v>
      </c>
      <c r="H334" s="41" t="s">
        <v>268</v>
      </c>
      <c r="I334" s="44"/>
    </row>
    <row r="335" spans="1:9" ht="36" customHeight="1" x14ac:dyDescent="0.3">
      <c r="A335" s="41" t="s">
        <v>615</v>
      </c>
      <c r="B335" s="41" t="s">
        <v>208</v>
      </c>
      <c r="C335" s="45">
        <v>1</v>
      </c>
      <c r="D335" s="45">
        <v>20</v>
      </c>
      <c r="E335" s="41" t="s">
        <v>270</v>
      </c>
      <c r="F335" s="43" t="s">
        <v>271</v>
      </c>
      <c r="G335" s="42" t="s">
        <v>267</v>
      </c>
      <c r="H335" s="41" t="s">
        <v>272</v>
      </c>
      <c r="I335" s="44"/>
    </row>
    <row r="336" spans="1:9" ht="36" customHeight="1" x14ac:dyDescent="0.3">
      <c r="A336" s="46" t="s">
        <v>616</v>
      </c>
      <c r="B336" s="46" t="s">
        <v>208</v>
      </c>
      <c r="C336" s="47">
        <v>2</v>
      </c>
      <c r="D336" s="47">
        <v>40</v>
      </c>
      <c r="E336" s="46" t="s">
        <v>274</v>
      </c>
      <c r="F336" s="48" t="s">
        <v>275</v>
      </c>
      <c r="G336" s="49" t="s">
        <v>267</v>
      </c>
      <c r="H336" s="46" t="s">
        <v>272</v>
      </c>
      <c r="I336" s="50"/>
    </row>
    <row r="337" spans="1:9" ht="36" customHeight="1" x14ac:dyDescent="0.3">
      <c r="A337" s="51" t="s">
        <v>617</v>
      </c>
      <c r="B337" s="51" t="s">
        <v>208</v>
      </c>
      <c r="C337" s="52">
        <v>3</v>
      </c>
      <c r="D337" s="52">
        <v>60</v>
      </c>
      <c r="E337" s="51" t="s">
        <v>277</v>
      </c>
      <c r="F337" s="53" t="s">
        <v>278</v>
      </c>
      <c r="G337" s="54" t="s">
        <v>279</v>
      </c>
      <c r="H337" s="51" t="s">
        <v>280</v>
      </c>
      <c r="I337" s="55"/>
    </row>
    <row r="338" spans="1:9" ht="36" customHeight="1" x14ac:dyDescent="0.3">
      <c r="A338" s="56" t="s">
        <v>618</v>
      </c>
      <c r="B338" s="56" t="s">
        <v>208</v>
      </c>
      <c r="C338" s="57">
        <v>4</v>
      </c>
      <c r="D338" s="57">
        <v>80</v>
      </c>
      <c r="E338" s="56" t="s">
        <v>282</v>
      </c>
      <c r="F338" s="58" t="s">
        <v>283</v>
      </c>
      <c r="G338" s="59" t="s">
        <v>279</v>
      </c>
      <c r="H338" s="56" t="s">
        <v>284</v>
      </c>
      <c r="I338" s="60"/>
    </row>
    <row r="339" spans="1:9" ht="36" customHeight="1" x14ac:dyDescent="0.3">
      <c r="A339" s="61" t="s">
        <v>619</v>
      </c>
      <c r="B339" s="61" t="s">
        <v>208</v>
      </c>
      <c r="C339" s="62">
        <v>5</v>
      </c>
      <c r="D339" s="62">
        <v>100</v>
      </c>
      <c r="E339" s="61" t="s">
        <v>286</v>
      </c>
      <c r="F339" s="63" t="s">
        <v>287</v>
      </c>
      <c r="G339" s="64" t="s">
        <v>288</v>
      </c>
      <c r="H339" s="61" t="s">
        <v>289</v>
      </c>
      <c r="I339" s="65"/>
    </row>
    <row r="340" spans="1:9" ht="36" customHeight="1" x14ac:dyDescent="0.3">
      <c r="A340" s="41" t="s">
        <v>620</v>
      </c>
      <c r="B340" s="41" t="s">
        <v>210</v>
      </c>
      <c r="C340" s="42">
        <v>0</v>
      </c>
      <c r="D340" s="42">
        <v>0</v>
      </c>
      <c r="E340" s="41" t="s">
        <v>265</v>
      </c>
      <c r="F340" s="43" t="s">
        <v>266</v>
      </c>
      <c r="G340" s="42" t="s">
        <v>267</v>
      </c>
      <c r="H340" s="41" t="s">
        <v>268</v>
      </c>
      <c r="I340" s="44"/>
    </row>
    <row r="341" spans="1:9" ht="36" customHeight="1" x14ac:dyDescent="0.3">
      <c r="A341" s="41" t="s">
        <v>621</v>
      </c>
      <c r="B341" s="41" t="s">
        <v>210</v>
      </c>
      <c r="C341" s="45">
        <v>1</v>
      </c>
      <c r="D341" s="45">
        <v>20</v>
      </c>
      <c r="E341" s="41" t="s">
        <v>270</v>
      </c>
      <c r="F341" s="43" t="s">
        <v>271</v>
      </c>
      <c r="G341" s="42" t="s">
        <v>267</v>
      </c>
      <c r="H341" s="41" t="s">
        <v>272</v>
      </c>
      <c r="I341" s="44"/>
    </row>
    <row r="342" spans="1:9" ht="36" customHeight="1" x14ac:dyDescent="0.3">
      <c r="A342" s="46" t="s">
        <v>622</v>
      </c>
      <c r="B342" s="46" t="s">
        <v>210</v>
      </c>
      <c r="C342" s="47">
        <v>2</v>
      </c>
      <c r="D342" s="47">
        <v>40</v>
      </c>
      <c r="E342" s="46" t="s">
        <v>274</v>
      </c>
      <c r="F342" s="48" t="s">
        <v>275</v>
      </c>
      <c r="G342" s="49" t="s">
        <v>267</v>
      </c>
      <c r="H342" s="46" t="s">
        <v>272</v>
      </c>
      <c r="I342" s="50"/>
    </row>
    <row r="343" spans="1:9" ht="36" customHeight="1" x14ac:dyDescent="0.3">
      <c r="A343" s="51" t="s">
        <v>623</v>
      </c>
      <c r="B343" s="51" t="s">
        <v>210</v>
      </c>
      <c r="C343" s="52">
        <v>3</v>
      </c>
      <c r="D343" s="52">
        <v>60</v>
      </c>
      <c r="E343" s="51" t="s">
        <v>277</v>
      </c>
      <c r="F343" s="53" t="s">
        <v>278</v>
      </c>
      <c r="G343" s="54" t="s">
        <v>279</v>
      </c>
      <c r="H343" s="51" t="s">
        <v>280</v>
      </c>
      <c r="I343" s="55"/>
    </row>
    <row r="344" spans="1:9" ht="36" customHeight="1" x14ac:dyDescent="0.3">
      <c r="A344" s="56" t="s">
        <v>624</v>
      </c>
      <c r="B344" s="56" t="s">
        <v>210</v>
      </c>
      <c r="C344" s="57">
        <v>4</v>
      </c>
      <c r="D344" s="57">
        <v>80</v>
      </c>
      <c r="E344" s="56" t="s">
        <v>282</v>
      </c>
      <c r="F344" s="58" t="s">
        <v>283</v>
      </c>
      <c r="G344" s="59" t="s">
        <v>279</v>
      </c>
      <c r="H344" s="56" t="s">
        <v>284</v>
      </c>
      <c r="I344" s="60"/>
    </row>
    <row r="345" spans="1:9" ht="36" customHeight="1" x14ac:dyDescent="0.3">
      <c r="A345" s="61" t="s">
        <v>625</v>
      </c>
      <c r="B345" s="61" t="s">
        <v>210</v>
      </c>
      <c r="C345" s="62">
        <v>5</v>
      </c>
      <c r="D345" s="62">
        <v>100</v>
      </c>
      <c r="E345" s="61" t="s">
        <v>286</v>
      </c>
      <c r="F345" s="63" t="s">
        <v>287</v>
      </c>
      <c r="G345" s="64" t="s">
        <v>288</v>
      </c>
      <c r="H345" s="61" t="s">
        <v>289</v>
      </c>
      <c r="I345" s="65"/>
    </row>
    <row r="346" spans="1:9" ht="36" customHeight="1" x14ac:dyDescent="0.3">
      <c r="A346" s="41" t="s">
        <v>626</v>
      </c>
      <c r="B346" s="41" t="s">
        <v>212</v>
      </c>
      <c r="C346" s="42">
        <v>0</v>
      </c>
      <c r="D346" s="42">
        <v>0</v>
      </c>
      <c r="E346" s="41" t="s">
        <v>265</v>
      </c>
      <c r="F346" s="43" t="s">
        <v>266</v>
      </c>
      <c r="G346" s="42" t="s">
        <v>267</v>
      </c>
      <c r="H346" s="41" t="s">
        <v>268</v>
      </c>
      <c r="I346" s="44"/>
    </row>
    <row r="347" spans="1:9" ht="36" customHeight="1" x14ac:dyDescent="0.3">
      <c r="A347" s="41" t="s">
        <v>627</v>
      </c>
      <c r="B347" s="41" t="s">
        <v>212</v>
      </c>
      <c r="C347" s="45">
        <v>1</v>
      </c>
      <c r="D347" s="45">
        <v>20</v>
      </c>
      <c r="E347" s="41" t="s">
        <v>270</v>
      </c>
      <c r="F347" s="43" t="s">
        <v>271</v>
      </c>
      <c r="G347" s="42" t="s">
        <v>267</v>
      </c>
      <c r="H347" s="41" t="s">
        <v>272</v>
      </c>
      <c r="I347" s="44"/>
    </row>
    <row r="348" spans="1:9" ht="36" customHeight="1" x14ac:dyDescent="0.3">
      <c r="A348" s="46" t="s">
        <v>628</v>
      </c>
      <c r="B348" s="46" t="s">
        <v>212</v>
      </c>
      <c r="C348" s="47">
        <v>2</v>
      </c>
      <c r="D348" s="47">
        <v>40</v>
      </c>
      <c r="E348" s="46" t="s">
        <v>274</v>
      </c>
      <c r="F348" s="48" t="s">
        <v>275</v>
      </c>
      <c r="G348" s="49" t="s">
        <v>267</v>
      </c>
      <c r="H348" s="46" t="s">
        <v>272</v>
      </c>
      <c r="I348" s="50"/>
    </row>
    <row r="349" spans="1:9" ht="36" customHeight="1" x14ac:dyDescent="0.3">
      <c r="A349" s="51" t="s">
        <v>629</v>
      </c>
      <c r="B349" s="51" t="s">
        <v>212</v>
      </c>
      <c r="C349" s="52">
        <v>3</v>
      </c>
      <c r="D349" s="52">
        <v>60</v>
      </c>
      <c r="E349" s="51" t="s">
        <v>277</v>
      </c>
      <c r="F349" s="53" t="s">
        <v>278</v>
      </c>
      <c r="G349" s="54" t="s">
        <v>279</v>
      </c>
      <c r="H349" s="51" t="s">
        <v>280</v>
      </c>
      <c r="I349" s="55"/>
    </row>
    <row r="350" spans="1:9" ht="36" customHeight="1" x14ac:dyDescent="0.3">
      <c r="A350" s="56" t="s">
        <v>630</v>
      </c>
      <c r="B350" s="56" t="s">
        <v>212</v>
      </c>
      <c r="C350" s="57">
        <v>4</v>
      </c>
      <c r="D350" s="57">
        <v>80</v>
      </c>
      <c r="E350" s="56" t="s">
        <v>282</v>
      </c>
      <c r="F350" s="58" t="s">
        <v>283</v>
      </c>
      <c r="G350" s="59" t="s">
        <v>279</v>
      </c>
      <c r="H350" s="56" t="s">
        <v>284</v>
      </c>
      <c r="I350" s="60"/>
    </row>
    <row r="351" spans="1:9" ht="36" customHeight="1" x14ac:dyDescent="0.3">
      <c r="A351" s="61" t="s">
        <v>631</v>
      </c>
      <c r="B351" s="61" t="s">
        <v>212</v>
      </c>
      <c r="C351" s="62">
        <v>5</v>
      </c>
      <c r="D351" s="62">
        <v>100</v>
      </c>
      <c r="E351" s="61" t="s">
        <v>286</v>
      </c>
      <c r="F351" s="63" t="s">
        <v>287</v>
      </c>
      <c r="G351" s="64" t="s">
        <v>288</v>
      </c>
      <c r="H351" s="61" t="s">
        <v>289</v>
      </c>
      <c r="I351" s="65"/>
    </row>
    <row r="352" spans="1:9" ht="36" customHeight="1" x14ac:dyDescent="0.3">
      <c r="A352" s="41" t="s">
        <v>632</v>
      </c>
      <c r="B352" s="41" t="s">
        <v>214</v>
      </c>
      <c r="C352" s="42">
        <v>0</v>
      </c>
      <c r="D352" s="42">
        <v>0</v>
      </c>
      <c r="E352" s="41" t="s">
        <v>265</v>
      </c>
      <c r="F352" s="43" t="s">
        <v>266</v>
      </c>
      <c r="G352" s="42" t="s">
        <v>267</v>
      </c>
      <c r="H352" s="41" t="s">
        <v>268</v>
      </c>
      <c r="I352" s="44"/>
    </row>
    <row r="353" spans="1:9" ht="36" customHeight="1" x14ac:dyDescent="0.3">
      <c r="A353" s="41" t="s">
        <v>633</v>
      </c>
      <c r="B353" s="41" t="s">
        <v>214</v>
      </c>
      <c r="C353" s="45">
        <v>1</v>
      </c>
      <c r="D353" s="45">
        <v>20</v>
      </c>
      <c r="E353" s="41" t="s">
        <v>270</v>
      </c>
      <c r="F353" s="43" t="s">
        <v>271</v>
      </c>
      <c r="G353" s="42" t="s">
        <v>267</v>
      </c>
      <c r="H353" s="41" t="s">
        <v>272</v>
      </c>
      <c r="I353" s="44"/>
    </row>
    <row r="354" spans="1:9" ht="36" customHeight="1" x14ac:dyDescent="0.3">
      <c r="A354" s="46" t="s">
        <v>634</v>
      </c>
      <c r="B354" s="46" t="s">
        <v>214</v>
      </c>
      <c r="C354" s="47">
        <v>2</v>
      </c>
      <c r="D354" s="47">
        <v>40</v>
      </c>
      <c r="E354" s="46" t="s">
        <v>274</v>
      </c>
      <c r="F354" s="48" t="s">
        <v>275</v>
      </c>
      <c r="G354" s="49" t="s">
        <v>267</v>
      </c>
      <c r="H354" s="46" t="s">
        <v>272</v>
      </c>
      <c r="I354" s="50"/>
    </row>
    <row r="355" spans="1:9" ht="36" customHeight="1" x14ac:dyDescent="0.3">
      <c r="A355" s="51" t="s">
        <v>635</v>
      </c>
      <c r="B355" s="51" t="s">
        <v>214</v>
      </c>
      <c r="C355" s="52">
        <v>3</v>
      </c>
      <c r="D355" s="52">
        <v>60</v>
      </c>
      <c r="E355" s="51" t="s">
        <v>277</v>
      </c>
      <c r="F355" s="53" t="s">
        <v>278</v>
      </c>
      <c r="G355" s="54" t="s">
        <v>279</v>
      </c>
      <c r="H355" s="51" t="s">
        <v>280</v>
      </c>
      <c r="I355" s="55"/>
    </row>
    <row r="356" spans="1:9" ht="36" customHeight="1" x14ac:dyDescent="0.3">
      <c r="A356" s="56" t="s">
        <v>636</v>
      </c>
      <c r="B356" s="56" t="s">
        <v>214</v>
      </c>
      <c r="C356" s="57">
        <v>4</v>
      </c>
      <c r="D356" s="57">
        <v>80</v>
      </c>
      <c r="E356" s="56" t="s">
        <v>282</v>
      </c>
      <c r="F356" s="58" t="s">
        <v>283</v>
      </c>
      <c r="G356" s="59" t="s">
        <v>279</v>
      </c>
      <c r="H356" s="56" t="s">
        <v>284</v>
      </c>
      <c r="I356" s="60"/>
    </row>
    <row r="357" spans="1:9" ht="36" customHeight="1" x14ac:dyDescent="0.3">
      <c r="A357" s="61" t="s">
        <v>637</v>
      </c>
      <c r="B357" s="61" t="s">
        <v>214</v>
      </c>
      <c r="C357" s="62">
        <v>5</v>
      </c>
      <c r="D357" s="62">
        <v>100</v>
      </c>
      <c r="E357" s="61" t="s">
        <v>286</v>
      </c>
      <c r="F357" s="63" t="s">
        <v>287</v>
      </c>
      <c r="G357" s="64" t="s">
        <v>288</v>
      </c>
      <c r="H357" s="61" t="s">
        <v>289</v>
      </c>
      <c r="I357" s="65"/>
    </row>
    <row r="358" spans="1:9" ht="36" customHeight="1" x14ac:dyDescent="0.3">
      <c r="A358" s="41" t="s">
        <v>638</v>
      </c>
      <c r="B358" s="41" t="s">
        <v>216</v>
      </c>
      <c r="C358" s="42">
        <v>0</v>
      </c>
      <c r="D358" s="42">
        <v>0</v>
      </c>
      <c r="E358" s="41" t="s">
        <v>265</v>
      </c>
      <c r="F358" s="43" t="s">
        <v>266</v>
      </c>
      <c r="G358" s="42" t="s">
        <v>267</v>
      </c>
      <c r="H358" s="41" t="s">
        <v>268</v>
      </c>
      <c r="I358" s="44"/>
    </row>
    <row r="359" spans="1:9" ht="36" customHeight="1" x14ac:dyDescent="0.3">
      <c r="A359" s="41" t="s">
        <v>639</v>
      </c>
      <c r="B359" s="41" t="s">
        <v>216</v>
      </c>
      <c r="C359" s="45">
        <v>1</v>
      </c>
      <c r="D359" s="45">
        <v>20</v>
      </c>
      <c r="E359" s="41" t="s">
        <v>270</v>
      </c>
      <c r="F359" s="43" t="s">
        <v>271</v>
      </c>
      <c r="G359" s="42" t="s">
        <v>267</v>
      </c>
      <c r="H359" s="41" t="s">
        <v>272</v>
      </c>
      <c r="I359" s="44"/>
    </row>
    <row r="360" spans="1:9" ht="36" customHeight="1" x14ac:dyDescent="0.3">
      <c r="A360" s="46" t="s">
        <v>640</v>
      </c>
      <c r="B360" s="46" t="s">
        <v>216</v>
      </c>
      <c r="C360" s="47">
        <v>2</v>
      </c>
      <c r="D360" s="47">
        <v>40</v>
      </c>
      <c r="E360" s="46" t="s">
        <v>274</v>
      </c>
      <c r="F360" s="48" t="s">
        <v>275</v>
      </c>
      <c r="G360" s="49" t="s">
        <v>267</v>
      </c>
      <c r="H360" s="46" t="s">
        <v>272</v>
      </c>
      <c r="I360" s="50"/>
    </row>
    <row r="361" spans="1:9" ht="36" customHeight="1" x14ac:dyDescent="0.3">
      <c r="A361" s="51" t="s">
        <v>641</v>
      </c>
      <c r="B361" s="51" t="s">
        <v>216</v>
      </c>
      <c r="C361" s="52">
        <v>3</v>
      </c>
      <c r="D361" s="52">
        <v>60</v>
      </c>
      <c r="E361" s="51" t="s">
        <v>277</v>
      </c>
      <c r="F361" s="53" t="s">
        <v>278</v>
      </c>
      <c r="G361" s="54" t="s">
        <v>279</v>
      </c>
      <c r="H361" s="51" t="s">
        <v>280</v>
      </c>
      <c r="I361" s="55"/>
    </row>
    <row r="362" spans="1:9" ht="36" customHeight="1" x14ac:dyDescent="0.3">
      <c r="A362" s="56" t="s">
        <v>642</v>
      </c>
      <c r="B362" s="56" t="s">
        <v>216</v>
      </c>
      <c r="C362" s="57">
        <v>4</v>
      </c>
      <c r="D362" s="57">
        <v>80</v>
      </c>
      <c r="E362" s="56" t="s">
        <v>282</v>
      </c>
      <c r="F362" s="58" t="s">
        <v>283</v>
      </c>
      <c r="G362" s="59" t="s">
        <v>279</v>
      </c>
      <c r="H362" s="56" t="s">
        <v>284</v>
      </c>
      <c r="I362" s="60"/>
    </row>
    <row r="363" spans="1:9" ht="36" customHeight="1" x14ac:dyDescent="0.3">
      <c r="A363" s="61" t="s">
        <v>643</v>
      </c>
      <c r="B363" s="61" t="s">
        <v>216</v>
      </c>
      <c r="C363" s="62">
        <v>5</v>
      </c>
      <c r="D363" s="62">
        <v>100</v>
      </c>
      <c r="E363" s="61" t="s">
        <v>286</v>
      </c>
      <c r="F363" s="63" t="s">
        <v>287</v>
      </c>
      <c r="G363" s="64" t="s">
        <v>288</v>
      </c>
      <c r="H363" s="61" t="s">
        <v>289</v>
      </c>
      <c r="I363" s="65"/>
    </row>
    <row r="364" spans="1:9" ht="36" customHeight="1" x14ac:dyDescent="0.3">
      <c r="A364" s="41" t="s">
        <v>644</v>
      </c>
      <c r="B364" s="41" t="s">
        <v>218</v>
      </c>
      <c r="C364" s="42">
        <v>0</v>
      </c>
      <c r="D364" s="42">
        <v>0</v>
      </c>
      <c r="E364" s="41" t="s">
        <v>265</v>
      </c>
      <c r="F364" s="43" t="s">
        <v>266</v>
      </c>
      <c r="G364" s="42" t="s">
        <v>267</v>
      </c>
      <c r="H364" s="41" t="s">
        <v>268</v>
      </c>
      <c r="I364" s="44"/>
    </row>
    <row r="365" spans="1:9" ht="36" customHeight="1" x14ac:dyDescent="0.3">
      <c r="A365" s="41" t="s">
        <v>645</v>
      </c>
      <c r="B365" s="41" t="s">
        <v>218</v>
      </c>
      <c r="C365" s="45">
        <v>1</v>
      </c>
      <c r="D365" s="45">
        <v>20</v>
      </c>
      <c r="E365" s="41" t="s">
        <v>270</v>
      </c>
      <c r="F365" s="43" t="s">
        <v>271</v>
      </c>
      <c r="G365" s="42" t="s">
        <v>267</v>
      </c>
      <c r="H365" s="41" t="s">
        <v>272</v>
      </c>
      <c r="I365" s="44"/>
    </row>
    <row r="366" spans="1:9" ht="36" customHeight="1" x14ac:dyDescent="0.3">
      <c r="A366" s="46" t="s">
        <v>646</v>
      </c>
      <c r="B366" s="46" t="s">
        <v>218</v>
      </c>
      <c r="C366" s="47">
        <v>2</v>
      </c>
      <c r="D366" s="47">
        <v>40</v>
      </c>
      <c r="E366" s="46" t="s">
        <v>274</v>
      </c>
      <c r="F366" s="48" t="s">
        <v>275</v>
      </c>
      <c r="G366" s="49" t="s">
        <v>267</v>
      </c>
      <c r="H366" s="46" t="s">
        <v>272</v>
      </c>
      <c r="I366" s="50"/>
    </row>
    <row r="367" spans="1:9" ht="36" customHeight="1" x14ac:dyDescent="0.3">
      <c r="A367" s="51" t="s">
        <v>647</v>
      </c>
      <c r="B367" s="51" t="s">
        <v>218</v>
      </c>
      <c r="C367" s="52">
        <v>3</v>
      </c>
      <c r="D367" s="52">
        <v>60</v>
      </c>
      <c r="E367" s="51" t="s">
        <v>277</v>
      </c>
      <c r="F367" s="53" t="s">
        <v>278</v>
      </c>
      <c r="G367" s="54" t="s">
        <v>279</v>
      </c>
      <c r="H367" s="51" t="s">
        <v>280</v>
      </c>
      <c r="I367" s="55"/>
    </row>
    <row r="368" spans="1:9" ht="36" customHeight="1" x14ac:dyDescent="0.3">
      <c r="A368" s="56" t="s">
        <v>648</v>
      </c>
      <c r="B368" s="56" t="s">
        <v>218</v>
      </c>
      <c r="C368" s="57">
        <v>4</v>
      </c>
      <c r="D368" s="57">
        <v>80</v>
      </c>
      <c r="E368" s="56" t="s">
        <v>282</v>
      </c>
      <c r="F368" s="58" t="s">
        <v>283</v>
      </c>
      <c r="G368" s="59" t="s">
        <v>279</v>
      </c>
      <c r="H368" s="56" t="s">
        <v>284</v>
      </c>
      <c r="I368" s="60"/>
    </row>
    <row r="369" spans="1:9" ht="36" customHeight="1" x14ac:dyDescent="0.3">
      <c r="A369" s="61" t="s">
        <v>649</v>
      </c>
      <c r="B369" s="61" t="s">
        <v>218</v>
      </c>
      <c r="C369" s="62">
        <v>5</v>
      </c>
      <c r="D369" s="62">
        <v>100</v>
      </c>
      <c r="E369" s="61" t="s">
        <v>286</v>
      </c>
      <c r="F369" s="63" t="s">
        <v>287</v>
      </c>
      <c r="G369" s="64" t="s">
        <v>288</v>
      </c>
      <c r="H369" s="61" t="s">
        <v>289</v>
      </c>
      <c r="I369" s="65"/>
    </row>
    <row r="370" spans="1:9" ht="36" customHeight="1" x14ac:dyDescent="0.3">
      <c r="A370" s="41" t="s">
        <v>650</v>
      </c>
      <c r="B370" s="41" t="s">
        <v>220</v>
      </c>
      <c r="C370" s="42">
        <v>0</v>
      </c>
      <c r="D370" s="42">
        <v>0</v>
      </c>
      <c r="E370" s="41" t="s">
        <v>265</v>
      </c>
      <c r="F370" s="43" t="s">
        <v>266</v>
      </c>
      <c r="G370" s="42" t="s">
        <v>267</v>
      </c>
      <c r="H370" s="41" t="s">
        <v>268</v>
      </c>
      <c r="I370" s="44"/>
    </row>
    <row r="371" spans="1:9" ht="36" customHeight="1" x14ac:dyDescent="0.3">
      <c r="A371" s="41" t="s">
        <v>651</v>
      </c>
      <c r="B371" s="41" t="s">
        <v>220</v>
      </c>
      <c r="C371" s="45">
        <v>1</v>
      </c>
      <c r="D371" s="45">
        <v>20</v>
      </c>
      <c r="E371" s="41" t="s">
        <v>270</v>
      </c>
      <c r="F371" s="43" t="s">
        <v>271</v>
      </c>
      <c r="G371" s="42" t="s">
        <v>267</v>
      </c>
      <c r="H371" s="41" t="s">
        <v>272</v>
      </c>
      <c r="I371" s="44"/>
    </row>
    <row r="372" spans="1:9" ht="36" customHeight="1" x14ac:dyDescent="0.3">
      <c r="A372" s="46" t="s">
        <v>652</v>
      </c>
      <c r="B372" s="46" t="s">
        <v>220</v>
      </c>
      <c r="C372" s="47">
        <v>2</v>
      </c>
      <c r="D372" s="47">
        <v>40</v>
      </c>
      <c r="E372" s="46" t="s">
        <v>274</v>
      </c>
      <c r="F372" s="48" t="s">
        <v>275</v>
      </c>
      <c r="G372" s="49" t="s">
        <v>267</v>
      </c>
      <c r="H372" s="46" t="s">
        <v>272</v>
      </c>
      <c r="I372" s="50"/>
    </row>
    <row r="373" spans="1:9" ht="36" customHeight="1" x14ac:dyDescent="0.3">
      <c r="A373" s="51" t="s">
        <v>653</v>
      </c>
      <c r="B373" s="51" t="s">
        <v>220</v>
      </c>
      <c r="C373" s="52">
        <v>3</v>
      </c>
      <c r="D373" s="52">
        <v>60</v>
      </c>
      <c r="E373" s="51" t="s">
        <v>277</v>
      </c>
      <c r="F373" s="53" t="s">
        <v>278</v>
      </c>
      <c r="G373" s="54" t="s">
        <v>279</v>
      </c>
      <c r="H373" s="51" t="s">
        <v>280</v>
      </c>
      <c r="I373" s="55"/>
    </row>
    <row r="374" spans="1:9" ht="36" customHeight="1" x14ac:dyDescent="0.3">
      <c r="A374" s="56" t="s">
        <v>654</v>
      </c>
      <c r="B374" s="56" t="s">
        <v>220</v>
      </c>
      <c r="C374" s="57">
        <v>4</v>
      </c>
      <c r="D374" s="57">
        <v>80</v>
      </c>
      <c r="E374" s="56" t="s">
        <v>282</v>
      </c>
      <c r="F374" s="58" t="s">
        <v>283</v>
      </c>
      <c r="G374" s="59" t="s">
        <v>279</v>
      </c>
      <c r="H374" s="56" t="s">
        <v>284</v>
      </c>
      <c r="I374" s="60"/>
    </row>
    <row r="375" spans="1:9" ht="36" customHeight="1" x14ac:dyDescent="0.3">
      <c r="A375" s="61" t="s">
        <v>655</v>
      </c>
      <c r="B375" s="61" t="s">
        <v>220</v>
      </c>
      <c r="C375" s="62">
        <v>5</v>
      </c>
      <c r="D375" s="62">
        <v>100</v>
      </c>
      <c r="E375" s="61" t="s">
        <v>286</v>
      </c>
      <c r="F375" s="63" t="s">
        <v>287</v>
      </c>
      <c r="G375" s="64" t="s">
        <v>288</v>
      </c>
      <c r="H375" s="61" t="s">
        <v>289</v>
      </c>
      <c r="I375" s="65"/>
    </row>
    <row r="376" spans="1:9" ht="36" customHeight="1" x14ac:dyDescent="0.3">
      <c r="A376" s="41" t="s">
        <v>656</v>
      </c>
      <c r="B376" s="41" t="s">
        <v>222</v>
      </c>
      <c r="C376" s="42">
        <v>0</v>
      </c>
      <c r="D376" s="42">
        <v>0</v>
      </c>
      <c r="E376" s="41" t="s">
        <v>265</v>
      </c>
      <c r="F376" s="43" t="s">
        <v>266</v>
      </c>
      <c r="G376" s="42" t="s">
        <v>267</v>
      </c>
      <c r="H376" s="41" t="s">
        <v>268</v>
      </c>
      <c r="I376" s="44"/>
    </row>
    <row r="377" spans="1:9" ht="36" customHeight="1" x14ac:dyDescent="0.3">
      <c r="A377" s="41" t="s">
        <v>657</v>
      </c>
      <c r="B377" s="41" t="s">
        <v>222</v>
      </c>
      <c r="C377" s="45">
        <v>1</v>
      </c>
      <c r="D377" s="45">
        <v>20</v>
      </c>
      <c r="E377" s="41" t="s">
        <v>270</v>
      </c>
      <c r="F377" s="43" t="s">
        <v>271</v>
      </c>
      <c r="G377" s="42" t="s">
        <v>267</v>
      </c>
      <c r="H377" s="41" t="s">
        <v>272</v>
      </c>
      <c r="I377" s="44"/>
    </row>
    <row r="378" spans="1:9" ht="36" customHeight="1" x14ac:dyDescent="0.3">
      <c r="A378" s="46" t="s">
        <v>658</v>
      </c>
      <c r="B378" s="46" t="s">
        <v>222</v>
      </c>
      <c r="C378" s="47">
        <v>2</v>
      </c>
      <c r="D378" s="47">
        <v>40</v>
      </c>
      <c r="E378" s="46" t="s">
        <v>274</v>
      </c>
      <c r="F378" s="48" t="s">
        <v>275</v>
      </c>
      <c r="G378" s="49" t="s">
        <v>267</v>
      </c>
      <c r="H378" s="46" t="s">
        <v>272</v>
      </c>
      <c r="I378" s="50"/>
    </row>
    <row r="379" spans="1:9" ht="36" customHeight="1" x14ac:dyDescent="0.3">
      <c r="A379" s="51" t="s">
        <v>659</v>
      </c>
      <c r="B379" s="51" t="s">
        <v>222</v>
      </c>
      <c r="C379" s="52">
        <v>3</v>
      </c>
      <c r="D379" s="52">
        <v>60</v>
      </c>
      <c r="E379" s="51" t="s">
        <v>277</v>
      </c>
      <c r="F379" s="53" t="s">
        <v>278</v>
      </c>
      <c r="G379" s="54" t="s">
        <v>279</v>
      </c>
      <c r="H379" s="51" t="s">
        <v>280</v>
      </c>
      <c r="I379" s="55"/>
    </row>
    <row r="380" spans="1:9" ht="36" customHeight="1" x14ac:dyDescent="0.3">
      <c r="A380" s="56" t="s">
        <v>660</v>
      </c>
      <c r="B380" s="56" t="s">
        <v>222</v>
      </c>
      <c r="C380" s="57">
        <v>4</v>
      </c>
      <c r="D380" s="57">
        <v>80</v>
      </c>
      <c r="E380" s="56" t="s">
        <v>282</v>
      </c>
      <c r="F380" s="58" t="s">
        <v>283</v>
      </c>
      <c r="G380" s="59" t="s">
        <v>279</v>
      </c>
      <c r="H380" s="56" t="s">
        <v>284</v>
      </c>
      <c r="I380" s="60"/>
    </row>
    <row r="381" spans="1:9" ht="36" customHeight="1" x14ac:dyDescent="0.3">
      <c r="A381" s="61" t="s">
        <v>661</v>
      </c>
      <c r="B381" s="61" t="s">
        <v>222</v>
      </c>
      <c r="C381" s="62">
        <v>5</v>
      </c>
      <c r="D381" s="62">
        <v>100</v>
      </c>
      <c r="E381" s="61" t="s">
        <v>286</v>
      </c>
      <c r="F381" s="63" t="s">
        <v>287</v>
      </c>
      <c r="G381" s="64" t="s">
        <v>288</v>
      </c>
      <c r="H381" s="61" t="s">
        <v>289</v>
      </c>
      <c r="I381" s="65"/>
    </row>
    <row r="382" spans="1:9" ht="36" customHeight="1" x14ac:dyDescent="0.3">
      <c r="A382" s="41" t="s">
        <v>662</v>
      </c>
      <c r="B382" s="41" t="s">
        <v>224</v>
      </c>
      <c r="C382" s="42">
        <v>0</v>
      </c>
      <c r="D382" s="42">
        <v>0</v>
      </c>
      <c r="E382" s="41" t="s">
        <v>265</v>
      </c>
      <c r="F382" s="43" t="s">
        <v>266</v>
      </c>
      <c r="G382" s="42" t="s">
        <v>267</v>
      </c>
      <c r="H382" s="41" t="s">
        <v>268</v>
      </c>
      <c r="I382" s="44"/>
    </row>
    <row r="383" spans="1:9" ht="36" customHeight="1" x14ac:dyDescent="0.3">
      <c r="A383" s="41" t="s">
        <v>663</v>
      </c>
      <c r="B383" s="41" t="s">
        <v>224</v>
      </c>
      <c r="C383" s="45">
        <v>1</v>
      </c>
      <c r="D383" s="45">
        <v>20</v>
      </c>
      <c r="E383" s="41" t="s">
        <v>270</v>
      </c>
      <c r="F383" s="43" t="s">
        <v>271</v>
      </c>
      <c r="G383" s="42" t="s">
        <v>267</v>
      </c>
      <c r="H383" s="41" t="s">
        <v>272</v>
      </c>
      <c r="I383" s="44"/>
    </row>
    <row r="384" spans="1:9" ht="36" customHeight="1" x14ac:dyDescent="0.3">
      <c r="A384" s="46" t="s">
        <v>664</v>
      </c>
      <c r="B384" s="46" t="s">
        <v>224</v>
      </c>
      <c r="C384" s="47">
        <v>2</v>
      </c>
      <c r="D384" s="47">
        <v>40</v>
      </c>
      <c r="E384" s="46" t="s">
        <v>274</v>
      </c>
      <c r="F384" s="48" t="s">
        <v>275</v>
      </c>
      <c r="G384" s="49" t="s">
        <v>267</v>
      </c>
      <c r="H384" s="46" t="s">
        <v>272</v>
      </c>
      <c r="I384" s="50"/>
    </row>
    <row r="385" spans="1:9" ht="36" customHeight="1" x14ac:dyDescent="0.3">
      <c r="A385" s="51" t="s">
        <v>665</v>
      </c>
      <c r="B385" s="51" t="s">
        <v>224</v>
      </c>
      <c r="C385" s="52">
        <v>3</v>
      </c>
      <c r="D385" s="52">
        <v>60</v>
      </c>
      <c r="E385" s="51" t="s">
        <v>277</v>
      </c>
      <c r="F385" s="53" t="s">
        <v>278</v>
      </c>
      <c r="G385" s="54" t="s">
        <v>279</v>
      </c>
      <c r="H385" s="51" t="s">
        <v>280</v>
      </c>
      <c r="I385" s="55"/>
    </row>
    <row r="386" spans="1:9" ht="36" customHeight="1" x14ac:dyDescent="0.3">
      <c r="A386" s="56" t="s">
        <v>666</v>
      </c>
      <c r="B386" s="56" t="s">
        <v>224</v>
      </c>
      <c r="C386" s="57">
        <v>4</v>
      </c>
      <c r="D386" s="57">
        <v>80</v>
      </c>
      <c r="E386" s="56" t="s">
        <v>282</v>
      </c>
      <c r="F386" s="58" t="s">
        <v>283</v>
      </c>
      <c r="G386" s="59" t="s">
        <v>279</v>
      </c>
      <c r="H386" s="56" t="s">
        <v>284</v>
      </c>
      <c r="I386" s="60"/>
    </row>
    <row r="387" spans="1:9" ht="36" customHeight="1" x14ac:dyDescent="0.3">
      <c r="A387" s="61" t="s">
        <v>667</v>
      </c>
      <c r="B387" s="61" t="s">
        <v>224</v>
      </c>
      <c r="C387" s="62">
        <v>5</v>
      </c>
      <c r="D387" s="62">
        <v>100</v>
      </c>
      <c r="E387" s="61" t="s">
        <v>286</v>
      </c>
      <c r="F387" s="63" t="s">
        <v>287</v>
      </c>
      <c r="G387" s="64" t="s">
        <v>288</v>
      </c>
      <c r="H387" s="61" t="s">
        <v>289</v>
      </c>
      <c r="I387" s="65"/>
    </row>
    <row r="388" spans="1:9" ht="36" customHeight="1" x14ac:dyDescent="0.3">
      <c r="A388" s="41" t="s">
        <v>668</v>
      </c>
      <c r="B388" s="41" t="s">
        <v>226</v>
      </c>
      <c r="C388" s="42">
        <v>0</v>
      </c>
      <c r="D388" s="42">
        <v>0</v>
      </c>
      <c r="E388" s="41" t="s">
        <v>265</v>
      </c>
      <c r="F388" s="43" t="s">
        <v>266</v>
      </c>
      <c r="G388" s="42" t="s">
        <v>267</v>
      </c>
      <c r="H388" s="41" t="s">
        <v>268</v>
      </c>
      <c r="I388" s="44"/>
    </row>
    <row r="389" spans="1:9" ht="36" customHeight="1" x14ac:dyDescent="0.3">
      <c r="A389" s="41" t="s">
        <v>669</v>
      </c>
      <c r="B389" s="41" t="s">
        <v>226</v>
      </c>
      <c r="C389" s="45">
        <v>1</v>
      </c>
      <c r="D389" s="45">
        <v>20</v>
      </c>
      <c r="E389" s="41" t="s">
        <v>270</v>
      </c>
      <c r="F389" s="43" t="s">
        <v>271</v>
      </c>
      <c r="G389" s="42" t="s">
        <v>267</v>
      </c>
      <c r="H389" s="41" t="s">
        <v>272</v>
      </c>
      <c r="I389" s="44"/>
    </row>
    <row r="390" spans="1:9" ht="36" customHeight="1" x14ac:dyDescent="0.3">
      <c r="A390" s="46" t="s">
        <v>670</v>
      </c>
      <c r="B390" s="46" t="s">
        <v>226</v>
      </c>
      <c r="C390" s="47">
        <v>2</v>
      </c>
      <c r="D390" s="47">
        <v>40</v>
      </c>
      <c r="E390" s="46" t="s">
        <v>274</v>
      </c>
      <c r="F390" s="48" t="s">
        <v>275</v>
      </c>
      <c r="G390" s="49" t="s">
        <v>267</v>
      </c>
      <c r="H390" s="46" t="s">
        <v>272</v>
      </c>
      <c r="I390" s="50"/>
    </row>
    <row r="391" spans="1:9" ht="36" customHeight="1" x14ac:dyDescent="0.3">
      <c r="A391" s="51" t="s">
        <v>671</v>
      </c>
      <c r="B391" s="51" t="s">
        <v>226</v>
      </c>
      <c r="C391" s="52">
        <v>3</v>
      </c>
      <c r="D391" s="52">
        <v>60</v>
      </c>
      <c r="E391" s="51" t="s">
        <v>277</v>
      </c>
      <c r="F391" s="53" t="s">
        <v>278</v>
      </c>
      <c r="G391" s="54" t="s">
        <v>279</v>
      </c>
      <c r="H391" s="51" t="s">
        <v>280</v>
      </c>
      <c r="I391" s="55"/>
    </row>
    <row r="392" spans="1:9" ht="36" customHeight="1" x14ac:dyDescent="0.3">
      <c r="A392" s="56" t="s">
        <v>672</v>
      </c>
      <c r="B392" s="56" t="s">
        <v>226</v>
      </c>
      <c r="C392" s="57">
        <v>4</v>
      </c>
      <c r="D392" s="57">
        <v>80</v>
      </c>
      <c r="E392" s="56" t="s">
        <v>282</v>
      </c>
      <c r="F392" s="58" t="s">
        <v>283</v>
      </c>
      <c r="G392" s="59" t="s">
        <v>279</v>
      </c>
      <c r="H392" s="56" t="s">
        <v>284</v>
      </c>
      <c r="I392" s="60"/>
    </row>
    <row r="393" spans="1:9" ht="36" customHeight="1" x14ac:dyDescent="0.3">
      <c r="A393" s="61" t="s">
        <v>673</v>
      </c>
      <c r="B393" s="61" t="s">
        <v>226</v>
      </c>
      <c r="C393" s="62">
        <v>5</v>
      </c>
      <c r="D393" s="62">
        <v>100</v>
      </c>
      <c r="E393" s="61" t="s">
        <v>286</v>
      </c>
      <c r="F393" s="63" t="s">
        <v>287</v>
      </c>
      <c r="G393" s="64" t="s">
        <v>288</v>
      </c>
      <c r="H393" s="61" t="s">
        <v>289</v>
      </c>
      <c r="I393" s="65"/>
    </row>
    <row r="394" spans="1:9" ht="36" customHeight="1" x14ac:dyDescent="0.3">
      <c r="A394" s="41" t="s">
        <v>674</v>
      </c>
      <c r="B394" s="41" t="s">
        <v>228</v>
      </c>
      <c r="C394" s="42">
        <v>0</v>
      </c>
      <c r="D394" s="42">
        <v>0</v>
      </c>
      <c r="E394" s="41" t="s">
        <v>265</v>
      </c>
      <c r="F394" s="43" t="s">
        <v>266</v>
      </c>
      <c r="G394" s="42" t="s">
        <v>267</v>
      </c>
      <c r="H394" s="41" t="s">
        <v>268</v>
      </c>
      <c r="I394" s="44"/>
    </row>
    <row r="395" spans="1:9" ht="36" customHeight="1" x14ac:dyDescent="0.3">
      <c r="A395" s="41" t="s">
        <v>675</v>
      </c>
      <c r="B395" s="41" t="s">
        <v>228</v>
      </c>
      <c r="C395" s="45">
        <v>1</v>
      </c>
      <c r="D395" s="45">
        <v>20</v>
      </c>
      <c r="E395" s="41" t="s">
        <v>270</v>
      </c>
      <c r="F395" s="43" t="s">
        <v>271</v>
      </c>
      <c r="G395" s="42" t="s">
        <v>267</v>
      </c>
      <c r="H395" s="41" t="s">
        <v>272</v>
      </c>
      <c r="I395" s="44"/>
    </row>
    <row r="396" spans="1:9" ht="36" customHeight="1" x14ac:dyDescent="0.3">
      <c r="A396" s="46" t="s">
        <v>676</v>
      </c>
      <c r="B396" s="46" t="s">
        <v>228</v>
      </c>
      <c r="C396" s="47">
        <v>2</v>
      </c>
      <c r="D396" s="47">
        <v>40</v>
      </c>
      <c r="E396" s="46" t="s">
        <v>274</v>
      </c>
      <c r="F396" s="48" t="s">
        <v>275</v>
      </c>
      <c r="G396" s="49" t="s">
        <v>267</v>
      </c>
      <c r="H396" s="46" t="s">
        <v>272</v>
      </c>
      <c r="I396" s="50"/>
    </row>
    <row r="397" spans="1:9" ht="36" customHeight="1" x14ac:dyDescent="0.3">
      <c r="A397" s="51" t="s">
        <v>677</v>
      </c>
      <c r="B397" s="51" t="s">
        <v>228</v>
      </c>
      <c r="C397" s="52">
        <v>3</v>
      </c>
      <c r="D397" s="52">
        <v>60</v>
      </c>
      <c r="E397" s="51" t="s">
        <v>277</v>
      </c>
      <c r="F397" s="53" t="s">
        <v>278</v>
      </c>
      <c r="G397" s="54" t="s">
        <v>279</v>
      </c>
      <c r="H397" s="51" t="s">
        <v>280</v>
      </c>
      <c r="I397" s="55"/>
    </row>
    <row r="398" spans="1:9" ht="36" customHeight="1" x14ac:dyDescent="0.3">
      <c r="A398" s="56" t="s">
        <v>678</v>
      </c>
      <c r="B398" s="56" t="s">
        <v>228</v>
      </c>
      <c r="C398" s="57">
        <v>4</v>
      </c>
      <c r="D398" s="57">
        <v>80</v>
      </c>
      <c r="E398" s="56" t="s">
        <v>282</v>
      </c>
      <c r="F398" s="58" t="s">
        <v>283</v>
      </c>
      <c r="G398" s="59" t="s">
        <v>279</v>
      </c>
      <c r="H398" s="56" t="s">
        <v>284</v>
      </c>
      <c r="I398" s="60"/>
    </row>
    <row r="399" spans="1:9" ht="36" customHeight="1" x14ac:dyDescent="0.3">
      <c r="A399" s="61" t="s">
        <v>679</v>
      </c>
      <c r="B399" s="61" t="s">
        <v>228</v>
      </c>
      <c r="C399" s="62">
        <v>5</v>
      </c>
      <c r="D399" s="62">
        <v>100</v>
      </c>
      <c r="E399" s="61" t="s">
        <v>286</v>
      </c>
      <c r="F399" s="63" t="s">
        <v>287</v>
      </c>
      <c r="G399" s="64" t="s">
        <v>288</v>
      </c>
      <c r="H399" s="61" t="s">
        <v>289</v>
      </c>
      <c r="I399" s="65"/>
    </row>
    <row r="400" spans="1:9" ht="36" customHeight="1" x14ac:dyDescent="0.3">
      <c r="A400" s="41" t="s">
        <v>680</v>
      </c>
      <c r="B400" s="41" t="s">
        <v>230</v>
      </c>
      <c r="C400" s="42">
        <v>0</v>
      </c>
      <c r="D400" s="42">
        <v>0</v>
      </c>
      <c r="E400" s="41" t="s">
        <v>265</v>
      </c>
      <c r="F400" s="43" t="s">
        <v>266</v>
      </c>
      <c r="G400" s="42" t="s">
        <v>267</v>
      </c>
      <c r="H400" s="41" t="s">
        <v>268</v>
      </c>
      <c r="I400" s="44"/>
    </row>
    <row r="401" spans="1:9" ht="36" customHeight="1" x14ac:dyDescent="0.3">
      <c r="A401" s="41" t="s">
        <v>681</v>
      </c>
      <c r="B401" s="41" t="s">
        <v>230</v>
      </c>
      <c r="C401" s="45">
        <v>1</v>
      </c>
      <c r="D401" s="45">
        <v>20</v>
      </c>
      <c r="E401" s="41" t="s">
        <v>270</v>
      </c>
      <c r="F401" s="43" t="s">
        <v>271</v>
      </c>
      <c r="G401" s="42" t="s">
        <v>267</v>
      </c>
      <c r="H401" s="41" t="s">
        <v>272</v>
      </c>
      <c r="I401" s="44"/>
    </row>
    <row r="402" spans="1:9" ht="36" customHeight="1" x14ac:dyDescent="0.3">
      <c r="A402" s="46" t="s">
        <v>682</v>
      </c>
      <c r="B402" s="46" t="s">
        <v>230</v>
      </c>
      <c r="C402" s="47">
        <v>2</v>
      </c>
      <c r="D402" s="47">
        <v>40</v>
      </c>
      <c r="E402" s="46" t="s">
        <v>274</v>
      </c>
      <c r="F402" s="48" t="s">
        <v>275</v>
      </c>
      <c r="G402" s="49" t="s">
        <v>267</v>
      </c>
      <c r="H402" s="46" t="s">
        <v>272</v>
      </c>
      <c r="I402" s="50"/>
    </row>
    <row r="403" spans="1:9" ht="36" customHeight="1" x14ac:dyDescent="0.3">
      <c r="A403" s="51" t="s">
        <v>683</v>
      </c>
      <c r="B403" s="51" t="s">
        <v>230</v>
      </c>
      <c r="C403" s="52">
        <v>3</v>
      </c>
      <c r="D403" s="52">
        <v>60</v>
      </c>
      <c r="E403" s="51" t="s">
        <v>277</v>
      </c>
      <c r="F403" s="53" t="s">
        <v>278</v>
      </c>
      <c r="G403" s="54" t="s">
        <v>279</v>
      </c>
      <c r="H403" s="51" t="s">
        <v>280</v>
      </c>
      <c r="I403" s="55"/>
    </row>
    <row r="404" spans="1:9" ht="36" customHeight="1" x14ac:dyDescent="0.3">
      <c r="A404" s="56" t="s">
        <v>684</v>
      </c>
      <c r="B404" s="56" t="s">
        <v>230</v>
      </c>
      <c r="C404" s="57">
        <v>4</v>
      </c>
      <c r="D404" s="57">
        <v>80</v>
      </c>
      <c r="E404" s="56" t="s">
        <v>282</v>
      </c>
      <c r="F404" s="58" t="s">
        <v>283</v>
      </c>
      <c r="G404" s="59" t="s">
        <v>279</v>
      </c>
      <c r="H404" s="56" t="s">
        <v>284</v>
      </c>
      <c r="I404" s="60"/>
    </row>
    <row r="405" spans="1:9" ht="36" customHeight="1" x14ac:dyDescent="0.3">
      <c r="A405" s="61" t="s">
        <v>685</v>
      </c>
      <c r="B405" s="61" t="s">
        <v>230</v>
      </c>
      <c r="C405" s="62">
        <v>5</v>
      </c>
      <c r="D405" s="62">
        <v>100</v>
      </c>
      <c r="E405" s="61" t="s">
        <v>286</v>
      </c>
      <c r="F405" s="63" t="s">
        <v>287</v>
      </c>
      <c r="G405" s="64" t="s">
        <v>288</v>
      </c>
      <c r="H405" s="61" t="s">
        <v>289</v>
      </c>
      <c r="I405" s="65"/>
    </row>
    <row r="406" spans="1:9" ht="36" customHeight="1" x14ac:dyDescent="0.3">
      <c r="A406" s="41" t="s">
        <v>686</v>
      </c>
      <c r="B406" s="41" t="s">
        <v>232</v>
      </c>
      <c r="C406" s="42">
        <v>0</v>
      </c>
      <c r="D406" s="42">
        <v>0</v>
      </c>
      <c r="E406" s="41" t="s">
        <v>265</v>
      </c>
      <c r="F406" s="43" t="s">
        <v>266</v>
      </c>
      <c r="G406" s="42" t="s">
        <v>267</v>
      </c>
      <c r="H406" s="41" t="s">
        <v>268</v>
      </c>
      <c r="I406" s="44"/>
    </row>
    <row r="407" spans="1:9" ht="36" customHeight="1" x14ac:dyDescent="0.3">
      <c r="A407" s="41" t="s">
        <v>687</v>
      </c>
      <c r="B407" s="41" t="s">
        <v>232</v>
      </c>
      <c r="C407" s="45">
        <v>1</v>
      </c>
      <c r="D407" s="45">
        <v>20</v>
      </c>
      <c r="E407" s="41" t="s">
        <v>270</v>
      </c>
      <c r="F407" s="43" t="s">
        <v>271</v>
      </c>
      <c r="G407" s="42" t="s">
        <v>267</v>
      </c>
      <c r="H407" s="41" t="s">
        <v>272</v>
      </c>
      <c r="I407" s="44"/>
    </row>
    <row r="408" spans="1:9" ht="36" customHeight="1" x14ac:dyDescent="0.3">
      <c r="A408" s="46" t="s">
        <v>688</v>
      </c>
      <c r="B408" s="46" t="s">
        <v>232</v>
      </c>
      <c r="C408" s="47">
        <v>2</v>
      </c>
      <c r="D408" s="47">
        <v>40</v>
      </c>
      <c r="E408" s="46" t="s">
        <v>274</v>
      </c>
      <c r="F408" s="48" t="s">
        <v>275</v>
      </c>
      <c r="G408" s="49" t="s">
        <v>267</v>
      </c>
      <c r="H408" s="46" t="s">
        <v>272</v>
      </c>
      <c r="I408" s="50"/>
    </row>
    <row r="409" spans="1:9" ht="36" customHeight="1" x14ac:dyDescent="0.3">
      <c r="A409" s="51" t="s">
        <v>689</v>
      </c>
      <c r="B409" s="51" t="s">
        <v>232</v>
      </c>
      <c r="C409" s="52">
        <v>3</v>
      </c>
      <c r="D409" s="52">
        <v>60</v>
      </c>
      <c r="E409" s="51" t="s">
        <v>277</v>
      </c>
      <c r="F409" s="53" t="s">
        <v>278</v>
      </c>
      <c r="G409" s="54" t="s">
        <v>279</v>
      </c>
      <c r="H409" s="51" t="s">
        <v>280</v>
      </c>
      <c r="I409" s="55"/>
    </row>
    <row r="410" spans="1:9" ht="36" customHeight="1" x14ac:dyDescent="0.3">
      <c r="A410" s="56" t="s">
        <v>690</v>
      </c>
      <c r="B410" s="56" t="s">
        <v>232</v>
      </c>
      <c r="C410" s="57">
        <v>4</v>
      </c>
      <c r="D410" s="57">
        <v>80</v>
      </c>
      <c r="E410" s="56" t="s">
        <v>282</v>
      </c>
      <c r="F410" s="58" t="s">
        <v>283</v>
      </c>
      <c r="G410" s="59" t="s">
        <v>279</v>
      </c>
      <c r="H410" s="56" t="s">
        <v>284</v>
      </c>
      <c r="I410" s="60"/>
    </row>
    <row r="411" spans="1:9" ht="36" customHeight="1" x14ac:dyDescent="0.3">
      <c r="A411" s="61" t="s">
        <v>691</v>
      </c>
      <c r="B411" s="61" t="s">
        <v>232</v>
      </c>
      <c r="C411" s="62">
        <v>5</v>
      </c>
      <c r="D411" s="62">
        <v>100</v>
      </c>
      <c r="E411" s="61" t="s">
        <v>286</v>
      </c>
      <c r="F411" s="63" t="s">
        <v>287</v>
      </c>
      <c r="G411" s="64" t="s">
        <v>288</v>
      </c>
      <c r="H411" s="61" t="s">
        <v>289</v>
      </c>
      <c r="I411" s="65"/>
    </row>
    <row r="412" spans="1:9" ht="36" customHeight="1" x14ac:dyDescent="0.3">
      <c r="A412" s="41" t="s">
        <v>692</v>
      </c>
      <c r="B412" s="41" t="s">
        <v>234</v>
      </c>
      <c r="C412" s="42">
        <v>0</v>
      </c>
      <c r="D412" s="42">
        <v>0</v>
      </c>
      <c r="E412" s="41" t="s">
        <v>265</v>
      </c>
      <c r="F412" s="43" t="s">
        <v>266</v>
      </c>
      <c r="G412" s="42" t="s">
        <v>267</v>
      </c>
      <c r="H412" s="41" t="s">
        <v>268</v>
      </c>
      <c r="I412" s="44"/>
    </row>
    <row r="413" spans="1:9" ht="36" customHeight="1" x14ac:dyDescent="0.3">
      <c r="A413" s="41" t="s">
        <v>693</v>
      </c>
      <c r="B413" s="41" t="s">
        <v>234</v>
      </c>
      <c r="C413" s="45">
        <v>1</v>
      </c>
      <c r="D413" s="45">
        <v>20</v>
      </c>
      <c r="E413" s="41" t="s">
        <v>270</v>
      </c>
      <c r="F413" s="43" t="s">
        <v>271</v>
      </c>
      <c r="G413" s="42" t="s">
        <v>267</v>
      </c>
      <c r="H413" s="41" t="s">
        <v>272</v>
      </c>
      <c r="I413" s="44"/>
    </row>
    <row r="414" spans="1:9" ht="36" customHeight="1" x14ac:dyDescent="0.3">
      <c r="A414" s="46" t="s">
        <v>694</v>
      </c>
      <c r="B414" s="46" t="s">
        <v>234</v>
      </c>
      <c r="C414" s="47">
        <v>2</v>
      </c>
      <c r="D414" s="47">
        <v>40</v>
      </c>
      <c r="E414" s="46" t="s">
        <v>274</v>
      </c>
      <c r="F414" s="48" t="s">
        <v>275</v>
      </c>
      <c r="G414" s="49" t="s">
        <v>267</v>
      </c>
      <c r="H414" s="46" t="s">
        <v>272</v>
      </c>
      <c r="I414" s="50"/>
    </row>
    <row r="415" spans="1:9" ht="36" customHeight="1" x14ac:dyDescent="0.3">
      <c r="A415" s="51" t="s">
        <v>695</v>
      </c>
      <c r="B415" s="51" t="s">
        <v>234</v>
      </c>
      <c r="C415" s="52">
        <v>3</v>
      </c>
      <c r="D415" s="52">
        <v>60</v>
      </c>
      <c r="E415" s="51" t="s">
        <v>277</v>
      </c>
      <c r="F415" s="53" t="s">
        <v>278</v>
      </c>
      <c r="G415" s="54" t="s">
        <v>279</v>
      </c>
      <c r="H415" s="51" t="s">
        <v>280</v>
      </c>
      <c r="I415" s="55"/>
    </row>
    <row r="416" spans="1:9" ht="36" customHeight="1" x14ac:dyDescent="0.3">
      <c r="A416" s="56" t="s">
        <v>696</v>
      </c>
      <c r="B416" s="56" t="s">
        <v>234</v>
      </c>
      <c r="C416" s="57">
        <v>4</v>
      </c>
      <c r="D416" s="57">
        <v>80</v>
      </c>
      <c r="E416" s="56" t="s">
        <v>282</v>
      </c>
      <c r="F416" s="58" t="s">
        <v>283</v>
      </c>
      <c r="G416" s="59" t="s">
        <v>279</v>
      </c>
      <c r="H416" s="56" t="s">
        <v>284</v>
      </c>
      <c r="I416" s="60"/>
    </row>
    <row r="417" spans="1:9" ht="36" customHeight="1" x14ac:dyDescent="0.3">
      <c r="A417" s="61" t="s">
        <v>697</v>
      </c>
      <c r="B417" s="61" t="s">
        <v>234</v>
      </c>
      <c r="C417" s="62">
        <v>5</v>
      </c>
      <c r="D417" s="62">
        <v>100</v>
      </c>
      <c r="E417" s="61" t="s">
        <v>286</v>
      </c>
      <c r="F417" s="63" t="s">
        <v>287</v>
      </c>
      <c r="G417" s="64" t="s">
        <v>288</v>
      </c>
      <c r="H417" s="61" t="s">
        <v>289</v>
      </c>
      <c r="I417" s="65"/>
    </row>
    <row r="418" spans="1:9" ht="36" customHeight="1" x14ac:dyDescent="0.3">
      <c r="A418" s="41" t="s">
        <v>698</v>
      </c>
      <c r="B418" s="41" t="s">
        <v>236</v>
      </c>
      <c r="C418" s="42">
        <v>0</v>
      </c>
      <c r="D418" s="42">
        <v>0</v>
      </c>
      <c r="E418" s="41" t="s">
        <v>265</v>
      </c>
      <c r="F418" s="43" t="s">
        <v>266</v>
      </c>
      <c r="G418" s="42" t="s">
        <v>267</v>
      </c>
      <c r="H418" s="41" t="s">
        <v>268</v>
      </c>
      <c r="I418" s="44"/>
    </row>
    <row r="419" spans="1:9" ht="36" customHeight="1" x14ac:dyDescent="0.3">
      <c r="A419" s="41" t="s">
        <v>699</v>
      </c>
      <c r="B419" s="41" t="s">
        <v>236</v>
      </c>
      <c r="C419" s="45">
        <v>1</v>
      </c>
      <c r="D419" s="45">
        <v>20</v>
      </c>
      <c r="E419" s="41" t="s">
        <v>270</v>
      </c>
      <c r="F419" s="43" t="s">
        <v>271</v>
      </c>
      <c r="G419" s="42" t="s">
        <v>267</v>
      </c>
      <c r="H419" s="41" t="s">
        <v>272</v>
      </c>
      <c r="I419" s="44"/>
    </row>
    <row r="420" spans="1:9" ht="36" customHeight="1" x14ac:dyDescent="0.3">
      <c r="A420" s="46" t="s">
        <v>700</v>
      </c>
      <c r="B420" s="46" t="s">
        <v>236</v>
      </c>
      <c r="C420" s="47">
        <v>2</v>
      </c>
      <c r="D420" s="47">
        <v>40</v>
      </c>
      <c r="E420" s="46" t="s">
        <v>274</v>
      </c>
      <c r="F420" s="48" t="s">
        <v>275</v>
      </c>
      <c r="G420" s="49" t="s">
        <v>267</v>
      </c>
      <c r="H420" s="46" t="s">
        <v>272</v>
      </c>
      <c r="I420" s="50"/>
    </row>
    <row r="421" spans="1:9" ht="36" customHeight="1" x14ac:dyDescent="0.3">
      <c r="A421" s="51" t="s">
        <v>701</v>
      </c>
      <c r="B421" s="51" t="s">
        <v>236</v>
      </c>
      <c r="C421" s="52">
        <v>3</v>
      </c>
      <c r="D421" s="52">
        <v>60</v>
      </c>
      <c r="E421" s="51" t="s">
        <v>277</v>
      </c>
      <c r="F421" s="53" t="s">
        <v>278</v>
      </c>
      <c r="G421" s="54" t="s">
        <v>279</v>
      </c>
      <c r="H421" s="51" t="s">
        <v>280</v>
      </c>
      <c r="I421" s="55"/>
    </row>
    <row r="422" spans="1:9" ht="36" customHeight="1" x14ac:dyDescent="0.3">
      <c r="A422" s="56" t="s">
        <v>702</v>
      </c>
      <c r="B422" s="56" t="s">
        <v>236</v>
      </c>
      <c r="C422" s="57">
        <v>4</v>
      </c>
      <c r="D422" s="57">
        <v>80</v>
      </c>
      <c r="E422" s="56" t="s">
        <v>282</v>
      </c>
      <c r="F422" s="58" t="s">
        <v>283</v>
      </c>
      <c r="G422" s="59" t="s">
        <v>279</v>
      </c>
      <c r="H422" s="56" t="s">
        <v>284</v>
      </c>
      <c r="I422" s="60"/>
    </row>
    <row r="423" spans="1:9" ht="36" customHeight="1" x14ac:dyDescent="0.3">
      <c r="A423" s="61" t="s">
        <v>703</v>
      </c>
      <c r="B423" s="61" t="s">
        <v>236</v>
      </c>
      <c r="C423" s="62">
        <v>5</v>
      </c>
      <c r="D423" s="62">
        <v>100</v>
      </c>
      <c r="E423" s="61" t="s">
        <v>286</v>
      </c>
      <c r="F423" s="63" t="s">
        <v>287</v>
      </c>
      <c r="G423" s="64" t="s">
        <v>288</v>
      </c>
      <c r="H423" s="61" t="s">
        <v>289</v>
      </c>
      <c r="I423" s="65"/>
    </row>
    <row r="424" spans="1:9" ht="36" customHeight="1" x14ac:dyDescent="0.3">
      <c r="A424" s="41" t="s">
        <v>704</v>
      </c>
      <c r="B424" s="41" t="s">
        <v>238</v>
      </c>
      <c r="C424" s="42">
        <v>0</v>
      </c>
      <c r="D424" s="42">
        <v>0</v>
      </c>
      <c r="E424" s="41" t="s">
        <v>265</v>
      </c>
      <c r="F424" s="43" t="s">
        <v>266</v>
      </c>
      <c r="G424" s="42" t="s">
        <v>267</v>
      </c>
      <c r="H424" s="41" t="s">
        <v>268</v>
      </c>
      <c r="I424" s="44"/>
    </row>
    <row r="425" spans="1:9" ht="36" customHeight="1" x14ac:dyDescent="0.3">
      <c r="A425" s="41" t="s">
        <v>705</v>
      </c>
      <c r="B425" s="41" t="s">
        <v>238</v>
      </c>
      <c r="C425" s="45">
        <v>1</v>
      </c>
      <c r="D425" s="45">
        <v>20</v>
      </c>
      <c r="E425" s="41" t="s">
        <v>270</v>
      </c>
      <c r="F425" s="43" t="s">
        <v>271</v>
      </c>
      <c r="G425" s="42" t="s">
        <v>267</v>
      </c>
      <c r="H425" s="41" t="s">
        <v>272</v>
      </c>
      <c r="I425" s="44"/>
    </row>
    <row r="426" spans="1:9" ht="36" customHeight="1" x14ac:dyDescent="0.3">
      <c r="A426" s="46" t="s">
        <v>706</v>
      </c>
      <c r="B426" s="46" t="s">
        <v>238</v>
      </c>
      <c r="C426" s="47">
        <v>2</v>
      </c>
      <c r="D426" s="47">
        <v>40</v>
      </c>
      <c r="E426" s="46" t="s">
        <v>274</v>
      </c>
      <c r="F426" s="48" t="s">
        <v>275</v>
      </c>
      <c r="G426" s="49" t="s">
        <v>267</v>
      </c>
      <c r="H426" s="46" t="s">
        <v>272</v>
      </c>
      <c r="I426" s="50"/>
    </row>
    <row r="427" spans="1:9" ht="36" customHeight="1" x14ac:dyDescent="0.3">
      <c r="A427" s="51" t="s">
        <v>707</v>
      </c>
      <c r="B427" s="51" t="s">
        <v>238</v>
      </c>
      <c r="C427" s="52">
        <v>3</v>
      </c>
      <c r="D427" s="52">
        <v>60</v>
      </c>
      <c r="E427" s="51" t="s">
        <v>277</v>
      </c>
      <c r="F427" s="53" t="s">
        <v>278</v>
      </c>
      <c r="G427" s="54" t="s">
        <v>279</v>
      </c>
      <c r="H427" s="51" t="s">
        <v>280</v>
      </c>
      <c r="I427" s="55"/>
    </row>
    <row r="428" spans="1:9" ht="36" customHeight="1" x14ac:dyDescent="0.3">
      <c r="A428" s="56" t="s">
        <v>708</v>
      </c>
      <c r="B428" s="56" t="s">
        <v>238</v>
      </c>
      <c r="C428" s="57">
        <v>4</v>
      </c>
      <c r="D428" s="57">
        <v>80</v>
      </c>
      <c r="E428" s="56" t="s">
        <v>282</v>
      </c>
      <c r="F428" s="58" t="s">
        <v>283</v>
      </c>
      <c r="G428" s="59" t="s">
        <v>279</v>
      </c>
      <c r="H428" s="56" t="s">
        <v>284</v>
      </c>
      <c r="I428" s="60"/>
    </row>
    <row r="429" spans="1:9" ht="36" customHeight="1" x14ac:dyDescent="0.3">
      <c r="A429" s="61" t="s">
        <v>709</v>
      </c>
      <c r="B429" s="61" t="s">
        <v>238</v>
      </c>
      <c r="C429" s="62">
        <v>5</v>
      </c>
      <c r="D429" s="62">
        <v>100</v>
      </c>
      <c r="E429" s="61" t="s">
        <v>286</v>
      </c>
      <c r="F429" s="63" t="s">
        <v>287</v>
      </c>
      <c r="G429" s="64" t="s">
        <v>288</v>
      </c>
      <c r="H429" s="61" t="s">
        <v>289</v>
      </c>
      <c r="I429" s="65"/>
    </row>
    <row r="430" spans="1:9" ht="36" customHeight="1" x14ac:dyDescent="0.3">
      <c r="A430" s="41" t="s">
        <v>710</v>
      </c>
      <c r="B430" s="41" t="s">
        <v>240</v>
      </c>
      <c r="C430" s="42">
        <v>0</v>
      </c>
      <c r="D430" s="42">
        <v>0</v>
      </c>
      <c r="E430" s="41" t="s">
        <v>265</v>
      </c>
      <c r="F430" s="43" t="s">
        <v>266</v>
      </c>
      <c r="G430" s="42" t="s">
        <v>267</v>
      </c>
      <c r="H430" s="41" t="s">
        <v>268</v>
      </c>
      <c r="I430" s="44"/>
    </row>
    <row r="431" spans="1:9" ht="36" customHeight="1" x14ac:dyDescent="0.3">
      <c r="A431" s="41" t="s">
        <v>711</v>
      </c>
      <c r="B431" s="41" t="s">
        <v>240</v>
      </c>
      <c r="C431" s="45">
        <v>1</v>
      </c>
      <c r="D431" s="45">
        <v>20</v>
      </c>
      <c r="E431" s="41" t="s">
        <v>270</v>
      </c>
      <c r="F431" s="43" t="s">
        <v>271</v>
      </c>
      <c r="G431" s="42" t="s">
        <v>267</v>
      </c>
      <c r="H431" s="41" t="s">
        <v>272</v>
      </c>
      <c r="I431" s="44"/>
    </row>
    <row r="432" spans="1:9" ht="36" customHeight="1" x14ac:dyDescent="0.3">
      <c r="A432" s="46" t="s">
        <v>712</v>
      </c>
      <c r="B432" s="46" t="s">
        <v>240</v>
      </c>
      <c r="C432" s="47">
        <v>2</v>
      </c>
      <c r="D432" s="47">
        <v>40</v>
      </c>
      <c r="E432" s="46" t="s">
        <v>274</v>
      </c>
      <c r="F432" s="48" t="s">
        <v>275</v>
      </c>
      <c r="G432" s="49" t="s">
        <v>267</v>
      </c>
      <c r="H432" s="46" t="s">
        <v>272</v>
      </c>
      <c r="I432" s="50"/>
    </row>
    <row r="433" spans="1:9" ht="36" customHeight="1" x14ac:dyDescent="0.3">
      <c r="A433" s="51" t="s">
        <v>713</v>
      </c>
      <c r="B433" s="51" t="s">
        <v>240</v>
      </c>
      <c r="C433" s="52">
        <v>3</v>
      </c>
      <c r="D433" s="52">
        <v>60</v>
      </c>
      <c r="E433" s="51" t="s">
        <v>277</v>
      </c>
      <c r="F433" s="53" t="s">
        <v>278</v>
      </c>
      <c r="G433" s="54" t="s">
        <v>279</v>
      </c>
      <c r="H433" s="51" t="s">
        <v>280</v>
      </c>
      <c r="I433" s="55"/>
    </row>
    <row r="434" spans="1:9" ht="36" customHeight="1" x14ac:dyDescent="0.3">
      <c r="A434" s="56" t="s">
        <v>714</v>
      </c>
      <c r="B434" s="56" t="s">
        <v>240</v>
      </c>
      <c r="C434" s="57">
        <v>4</v>
      </c>
      <c r="D434" s="57">
        <v>80</v>
      </c>
      <c r="E434" s="56" t="s">
        <v>282</v>
      </c>
      <c r="F434" s="58" t="s">
        <v>283</v>
      </c>
      <c r="G434" s="59" t="s">
        <v>279</v>
      </c>
      <c r="H434" s="56" t="s">
        <v>284</v>
      </c>
      <c r="I434" s="60"/>
    </row>
    <row r="435" spans="1:9" ht="36" customHeight="1" x14ac:dyDescent="0.3">
      <c r="A435" s="61" t="s">
        <v>715</v>
      </c>
      <c r="B435" s="61" t="s">
        <v>240</v>
      </c>
      <c r="C435" s="62">
        <v>5</v>
      </c>
      <c r="D435" s="62">
        <v>100</v>
      </c>
      <c r="E435" s="61" t="s">
        <v>286</v>
      </c>
      <c r="F435" s="63" t="s">
        <v>287</v>
      </c>
      <c r="G435" s="64" t="s">
        <v>288</v>
      </c>
      <c r="H435" s="61" t="s">
        <v>289</v>
      </c>
      <c r="I435" s="65"/>
    </row>
    <row r="436" spans="1:9" ht="36" customHeight="1" x14ac:dyDescent="0.3">
      <c r="A436" s="41" t="s">
        <v>716</v>
      </c>
      <c r="B436" s="41" t="s">
        <v>242</v>
      </c>
      <c r="C436" s="42">
        <v>0</v>
      </c>
      <c r="D436" s="42">
        <v>0</v>
      </c>
      <c r="E436" s="41" t="s">
        <v>265</v>
      </c>
      <c r="F436" s="43" t="s">
        <v>266</v>
      </c>
      <c r="G436" s="42" t="s">
        <v>267</v>
      </c>
      <c r="H436" s="41" t="s">
        <v>268</v>
      </c>
      <c r="I436" s="44"/>
    </row>
    <row r="437" spans="1:9" ht="36" customHeight="1" x14ac:dyDescent="0.3">
      <c r="A437" s="41" t="s">
        <v>717</v>
      </c>
      <c r="B437" s="41" t="s">
        <v>242</v>
      </c>
      <c r="C437" s="45">
        <v>1</v>
      </c>
      <c r="D437" s="45">
        <v>20</v>
      </c>
      <c r="E437" s="41" t="s">
        <v>270</v>
      </c>
      <c r="F437" s="43" t="s">
        <v>271</v>
      </c>
      <c r="G437" s="42" t="s">
        <v>267</v>
      </c>
      <c r="H437" s="41" t="s">
        <v>272</v>
      </c>
      <c r="I437" s="44"/>
    </row>
    <row r="438" spans="1:9" ht="36" customHeight="1" x14ac:dyDescent="0.3">
      <c r="A438" s="46" t="s">
        <v>718</v>
      </c>
      <c r="B438" s="46" t="s">
        <v>242</v>
      </c>
      <c r="C438" s="47">
        <v>2</v>
      </c>
      <c r="D438" s="47">
        <v>40</v>
      </c>
      <c r="E438" s="46" t="s">
        <v>274</v>
      </c>
      <c r="F438" s="48" t="s">
        <v>275</v>
      </c>
      <c r="G438" s="49" t="s">
        <v>267</v>
      </c>
      <c r="H438" s="46" t="s">
        <v>272</v>
      </c>
      <c r="I438" s="50"/>
    </row>
    <row r="439" spans="1:9" ht="36" customHeight="1" x14ac:dyDescent="0.3">
      <c r="A439" s="51" t="s">
        <v>719</v>
      </c>
      <c r="B439" s="51" t="s">
        <v>242</v>
      </c>
      <c r="C439" s="52">
        <v>3</v>
      </c>
      <c r="D439" s="52">
        <v>60</v>
      </c>
      <c r="E439" s="51" t="s">
        <v>277</v>
      </c>
      <c r="F439" s="53" t="s">
        <v>278</v>
      </c>
      <c r="G439" s="54" t="s">
        <v>279</v>
      </c>
      <c r="H439" s="51" t="s">
        <v>280</v>
      </c>
      <c r="I439" s="55"/>
    </row>
    <row r="440" spans="1:9" ht="36" customHeight="1" x14ac:dyDescent="0.3">
      <c r="A440" s="56" t="s">
        <v>720</v>
      </c>
      <c r="B440" s="56" t="s">
        <v>242</v>
      </c>
      <c r="C440" s="57">
        <v>4</v>
      </c>
      <c r="D440" s="57">
        <v>80</v>
      </c>
      <c r="E440" s="56" t="s">
        <v>282</v>
      </c>
      <c r="F440" s="58" t="s">
        <v>283</v>
      </c>
      <c r="G440" s="59" t="s">
        <v>279</v>
      </c>
      <c r="H440" s="56" t="s">
        <v>284</v>
      </c>
      <c r="I440" s="60"/>
    </row>
    <row r="441" spans="1:9" ht="36" customHeight="1" x14ac:dyDescent="0.3">
      <c r="A441" s="61" t="s">
        <v>721</v>
      </c>
      <c r="B441" s="61" t="s">
        <v>242</v>
      </c>
      <c r="C441" s="62">
        <v>5</v>
      </c>
      <c r="D441" s="62">
        <v>100</v>
      </c>
      <c r="E441" s="61" t="s">
        <v>286</v>
      </c>
      <c r="F441" s="63" t="s">
        <v>287</v>
      </c>
      <c r="G441" s="64" t="s">
        <v>288</v>
      </c>
      <c r="H441" s="61" t="s">
        <v>289</v>
      </c>
      <c r="I441" s="65"/>
    </row>
    <row r="442" spans="1:9" ht="36" customHeight="1" x14ac:dyDescent="0.3">
      <c r="A442" s="41" t="s">
        <v>722</v>
      </c>
      <c r="B442" s="41" t="s">
        <v>244</v>
      </c>
      <c r="C442" s="42">
        <v>0</v>
      </c>
      <c r="D442" s="42">
        <v>0</v>
      </c>
      <c r="E442" s="41" t="s">
        <v>265</v>
      </c>
      <c r="F442" s="43" t="s">
        <v>266</v>
      </c>
      <c r="G442" s="42" t="s">
        <v>267</v>
      </c>
      <c r="H442" s="41" t="s">
        <v>268</v>
      </c>
      <c r="I442" s="44"/>
    </row>
    <row r="443" spans="1:9" ht="36" customHeight="1" x14ac:dyDescent="0.3">
      <c r="A443" s="41" t="s">
        <v>723</v>
      </c>
      <c r="B443" s="41" t="s">
        <v>244</v>
      </c>
      <c r="C443" s="45">
        <v>1</v>
      </c>
      <c r="D443" s="45">
        <v>20</v>
      </c>
      <c r="E443" s="41" t="s">
        <v>270</v>
      </c>
      <c r="F443" s="43" t="s">
        <v>271</v>
      </c>
      <c r="G443" s="42" t="s">
        <v>267</v>
      </c>
      <c r="H443" s="41" t="s">
        <v>272</v>
      </c>
      <c r="I443" s="44"/>
    </row>
    <row r="444" spans="1:9" ht="36" customHeight="1" x14ac:dyDescent="0.3">
      <c r="A444" s="46" t="s">
        <v>724</v>
      </c>
      <c r="B444" s="46" t="s">
        <v>244</v>
      </c>
      <c r="C444" s="47">
        <v>2</v>
      </c>
      <c r="D444" s="47">
        <v>40</v>
      </c>
      <c r="E444" s="46" t="s">
        <v>274</v>
      </c>
      <c r="F444" s="48" t="s">
        <v>275</v>
      </c>
      <c r="G444" s="49" t="s">
        <v>267</v>
      </c>
      <c r="H444" s="46" t="s">
        <v>272</v>
      </c>
      <c r="I444" s="50"/>
    </row>
    <row r="445" spans="1:9" ht="36" customHeight="1" x14ac:dyDescent="0.3">
      <c r="A445" s="51" t="s">
        <v>725</v>
      </c>
      <c r="B445" s="51" t="s">
        <v>244</v>
      </c>
      <c r="C445" s="52">
        <v>3</v>
      </c>
      <c r="D445" s="52">
        <v>60</v>
      </c>
      <c r="E445" s="51" t="s">
        <v>277</v>
      </c>
      <c r="F445" s="53" t="s">
        <v>278</v>
      </c>
      <c r="G445" s="54" t="s">
        <v>279</v>
      </c>
      <c r="H445" s="51" t="s">
        <v>280</v>
      </c>
      <c r="I445" s="55"/>
    </row>
    <row r="446" spans="1:9" ht="36" customHeight="1" x14ac:dyDescent="0.3">
      <c r="A446" s="56" t="s">
        <v>726</v>
      </c>
      <c r="B446" s="56" t="s">
        <v>244</v>
      </c>
      <c r="C446" s="57">
        <v>4</v>
      </c>
      <c r="D446" s="57">
        <v>80</v>
      </c>
      <c r="E446" s="56" t="s">
        <v>282</v>
      </c>
      <c r="F446" s="58" t="s">
        <v>283</v>
      </c>
      <c r="G446" s="59" t="s">
        <v>279</v>
      </c>
      <c r="H446" s="56" t="s">
        <v>284</v>
      </c>
      <c r="I446" s="60"/>
    </row>
    <row r="447" spans="1:9" ht="36" customHeight="1" x14ac:dyDescent="0.3">
      <c r="A447" s="61" t="s">
        <v>727</v>
      </c>
      <c r="B447" s="61" t="s">
        <v>244</v>
      </c>
      <c r="C447" s="62">
        <v>5</v>
      </c>
      <c r="D447" s="62">
        <v>100</v>
      </c>
      <c r="E447" s="61" t="s">
        <v>286</v>
      </c>
      <c r="F447" s="63" t="s">
        <v>287</v>
      </c>
      <c r="G447" s="64" t="s">
        <v>288</v>
      </c>
      <c r="H447" s="61" t="s">
        <v>289</v>
      </c>
      <c r="I447" s="65"/>
    </row>
    <row r="448" spans="1:9" ht="36" customHeight="1" x14ac:dyDescent="0.3">
      <c r="A448" s="41" t="s">
        <v>728</v>
      </c>
      <c r="B448" s="41" t="s">
        <v>246</v>
      </c>
      <c r="C448" s="42">
        <v>0</v>
      </c>
      <c r="D448" s="42">
        <v>0</v>
      </c>
      <c r="E448" s="41" t="s">
        <v>265</v>
      </c>
      <c r="F448" s="43" t="s">
        <v>266</v>
      </c>
      <c r="G448" s="42" t="s">
        <v>267</v>
      </c>
      <c r="H448" s="41" t="s">
        <v>268</v>
      </c>
      <c r="I448" s="44"/>
    </row>
    <row r="449" spans="1:9" ht="36" customHeight="1" x14ac:dyDescent="0.3">
      <c r="A449" s="41" t="s">
        <v>729</v>
      </c>
      <c r="B449" s="41" t="s">
        <v>246</v>
      </c>
      <c r="C449" s="45">
        <v>1</v>
      </c>
      <c r="D449" s="45">
        <v>20</v>
      </c>
      <c r="E449" s="41" t="s">
        <v>270</v>
      </c>
      <c r="F449" s="43" t="s">
        <v>271</v>
      </c>
      <c r="G449" s="42" t="s">
        <v>267</v>
      </c>
      <c r="H449" s="41" t="s">
        <v>272</v>
      </c>
      <c r="I449" s="44"/>
    </row>
    <row r="450" spans="1:9" ht="36" customHeight="1" x14ac:dyDescent="0.3">
      <c r="A450" s="46" t="s">
        <v>730</v>
      </c>
      <c r="B450" s="46" t="s">
        <v>246</v>
      </c>
      <c r="C450" s="47">
        <v>2</v>
      </c>
      <c r="D450" s="47">
        <v>40</v>
      </c>
      <c r="E450" s="46" t="s">
        <v>274</v>
      </c>
      <c r="F450" s="48" t="s">
        <v>275</v>
      </c>
      <c r="G450" s="49" t="s">
        <v>267</v>
      </c>
      <c r="H450" s="46" t="s">
        <v>272</v>
      </c>
      <c r="I450" s="50"/>
    </row>
    <row r="451" spans="1:9" ht="36" customHeight="1" x14ac:dyDescent="0.3">
      <c r="A451" s="51" t="s">
        <v>731</v>
      </c>
      <c r="B451" s="51" t="s">
        <v>246</v>
      </c>
      <c r="C451" s="52">
        <v>3</v>
      </c>
      <c r="D451" s="52">
        <v>60</v>
      </c>
      <c r="E451" s="51" t="s">
        <v>277</v>
      </c>
      <c r="F451" s="53" t="s">
        <v>278</v>
      </c>
      <c r="G451" s="54" t="s">
        <v>279</v>
      </c>
      <c r="H451" s="51" t="s">
        <v>280</v>
      </c>
      <c r="I451" s="55"/>
    </row>
    <row r="452" spans="1:9" ht="36" customHeight="1" x14ac:dyDescent="0.3">
      <c r="A452" s="56" t="s">
        <v>732</v>
      </c>
      <c r="B452" s="56" t="s">
        <v>246</v>
      </c>
      <c r="C452" s="57">
        <v>4</v>
      </c>
      <c r="D452" s="57">
        <v>80</v>
      </c>
      <c r="E452" s="56" t="s">
        <v>282</v>
      </c>
      <c r="F452" s="58" t="s">
        <v>283</v>
      </c>
      <c r="G452" s="59" t="s">
        <v>279</v>
      </c>
      <c r="H452" s="56" t="s">
        <v>284</v>
      </c>
      <c r="I452" s="60"/>
    </row>
    <row r="453" spans="1:9" ht="36" customHeight="1" x14ac:dyDescent="0.3">
      <c r="A453" s="61" t="s">
        <v>733</v>
      </c>
      <c r="B453" s="61" t="s">
        <v>246</v>
      </c>
      <c r="C453" s="62">
        <v>5</v>
      </c>
      <c r="D453" s="62">
        <v>100</v>
      </c>
      <c r="E453" s="61" t="s">
        <v>286</v>
      </c>
      <c r="F453" s="63" t="s">
        <v>287</v>
      </c>
      <c r="G453" s="64" t="s">
        <v>288</v>
      </c>
      <c r="H453" s="61" t="s">
        <v>289</v>
      </c>
      <c r="I453" s="65"/>
    </row>
    <row r="454" spans="1:9" ht="36" customHeight="1" x14ac:dyDescent="0.3">
      <c r="A454" s="41" t="s">
        <v>734</v>
      </c>
      <c r="B454" s="41" t="s">
        <v>248</v>
      </c>
      <c r="C454" s="42">
        <v>0</v>
      </c>
      <c r="D454" s="42">
        <v>0</v>
      </c>
      <c r="E454" s="41" t="s">
        <v>265</v>
      </c>
      <c r="F454" s="43" t="s">
        <v>266</v>
      </c>
      <c r="G454" s="42" t="s">
        <v>267</v>
      </c>
      <c r="H454" s="41" t="s">
        <v>268</v>
      </c>
      <c r="I454" s="44"/>
    </row>
    <row r="455" spans="1:9" ht="36" customHeight="1" x14ac:dyDescent="0.3">
      <c r="A455" s="41" t="s">
        <v>735</v>
      </c>
      <c r="B455" s="41" t="s">
        <v>248</v>
      </c>
      <c r="C455" s="45">
        <v>1</v>
      </c>
      <c r="D455" s="45">
        <v>20</v>
      </c>
      <c r="E455" s="41" t="s">
        <v>270</v>
      </c>
      <c r="F455" s="43" t="s">
        <v>271</v>
      </c>
      <c r="G455" s="42" t="s">
        <v>267</v>
      </c>
      <c r="H455" s="41" t="s">
        <v>272</v>
      </c>
      <c r="I455" s="44"/>
    </row>
    <row r="456" spans="1:9" ht="36" customHeight="1" x14ac:dyDescent="0.3">
      <c r="A456" s="46" t="s">
        <v>736</v>
      </c>
      <c r="B456" s="46" t="s">
        <v>248</v>
      </c>
      <c r="C456" s="47">
        <v>2</v>
      </c>
      <c r="D456" s="47">
        <v>40</v>
      </c>
      <c r="E456" s="46" t="s">
        <v>274</v>
      </c>
      <c r="F456" s="48" t="s">
        <v>275</v>
      </c>
      <c r="G456" s="49" t="s">
        <v>267</v>
      </c>
      <c r="H456" s="46" t="s">
        <v>272</v>
      </c>
      <c r="I456" s="50"/>
    </row>
    <row r="457" spans="1:9" ht="36" customHeight="1" x14ac:dyDescent="0.3">
      <c r="A457" s="51" t="s">
        <v>737</v>
      </c>
      <c r="B457" s="51" t="s">
        <v>248</v>
      </c>
      <c r="C457" s="52">
        <v>3</v>
      </c>
      <c r="D457" s="52">
        <v>60</v>
      </c>
      <c r="E457" s="51" t="s">
        <v>277</v>
      </c>
      <c r="F457" s="53" t="s">
        <v>278</v>
      </c>
      <c r="G457" s="54" t="s">
        <v>279</v>
      </c>
      <c r="H457" s="51" t="s">
        <v>280</v>
      </c>
      <c r="I457" s="55"/>
    </row>
    <row r="458" spans="1:9" ht="36" customHeight="1" x14ac:dyDescent="0.3">
      <c r="A458" s="56" t="s">
        <v>738</v>
      </c>
      <c r="B458" s="56" t="s">
        <v>248</v>
      </c>
      <c r="C458" s="57">
        <v>4</v>
      </c>
      <c r="D458" s="57">
        <v>80</v>
      </c>
      <c r="E458" s="56" t="s">
        <v>282</v>
      </c>
      <c r="F458" s="58" t="s">
        <v>283</v>
      </c>
      <c r="G458" s="59" t="s">
        <v>279</v>
      </c>
      <c r="H458" s="56" t="s">
        <v>284</v>
      </c>
      <c r="I458" s="60"/>
    </row>
    <row r="459" spans="1:9" ht="36" customHeight="1" x14ac:dyDescent="0.3">
      <c r="A459" s="61" t="s">
        <v>739</v>
      </c>
      <c r="B459" s="61" t="s">
        <v>248</v>
      </c>
      <c r="C459" s="62">
        <v>5</v>
      </c>
      <c r="D459" s="62">
        <v>100</v>
      </c>
      <c r="E459" s="61" t="s">
        <v>286</v>
      </c>
      <c r="F459" s="63" t="s">
        <v>287</v>
      </c>
      <c r="G459" s="64" t="s">
        <v>288</v>
      </c>
      <c r="H459" s="61" t="s">
        <v>289</v>
      </c>
      <c r="I459" s="65"/>
    </row>
    <row r="460" spans="1:9" ht="36" customHeight="1" x14ac:dyDescent="0.3">
      <c r="A460" s="41" t="s">
        <v>740</v>
      </c>
      <c r="B460" s="41" t="s">
        <v>250</v>
      </c>
      <c r="C460" s="42">
        <v>0</v>
      </c>
      <c r="D460" s="42">
        <v>0</v>
      </c>
      <c r="E460" s="41" t="s">
        <v>265</v>
      </c>
      <c r="F460" s="43" t="s">
        <v>266</v>
      </c>
      <c r="G460" s="42" t="s">
        <v>267</v>
      </c>
      <c r="H460" s="41" t="s">
        <v>268</v>
      </c>
      <c r="I460" s="44"/>
    </row>
    <row r="461" spans="1:9" ht="36" customHeight="1" x14ac:dyDescent="0.3">
      <c r="A461" s="41" t="s">
        <v>741</v>
      </c>
      <c r="B461" s="41" t="s">
        <v>250</v>
      </c>
      <c r="C461" s="45">
        <v>1</v>
      </c>
      <c r="D461" s="45">
        <v>20</v>
      </c>
      <c r="E461" s="41" t="s">
        <v>270</v>
      </c>
      <c r="F461" s="43" t="s">
        <v>271</v>
      </c>
      <c r="G461" s="42" t="s">
        <v>267</v>
      </c>
      <c r="H461" s="41" t="s">
        <v>272</v>
      </c>
      <c r="I461" s="44"/>
    </row>
    <row r="462" spans="1:9" ht="36" customHeight="1" x14ac:dyDescent="0.3">
      <c r="A462" s="46" t="s">
        <v>742</v>
      </c>
      <c r="B462" s="46" t="s">
        <v>250</v>
      </c>
      <c r="C462" s="47">
        <v>2</v>
      </c>
      <c r="D462" s="47">
        <v>40</v>
      </c>
      <c r="E462" s="46" t="s">
        <v>274</v>
      </c>
      <c r="F462" s="48" t="s">
        <v>275</v>
      </c>
      <c r="G462" s="49" t="s">
        <v>267</v>
      </c>
      <c r="H462" s="46" t="s">
        <v>272</v>
      </c>
      <c r="I462" s="50"/>
    </row>
    <row r="463" spans="1:9" ht="36" customHeight="1" x14ac:dyDescent="0.3">
      <c r="A463" s="51" t="s">
        <v>743</v>
      </c>
      <c r="B463" s="51" t="s">
        <v>250</v>
      </c>
      <c r="C463" s="52">
        <v>3</v>
      </c>
      <c r="D463" s="52">
        <v>60</v>
      </c>
      <c r="E463" s="51" t="s">
        <v>277</v>
      </c>
      <c r="F463" s="53" t="s">
        <v>278</v>
      </c>
      <c r="G463" s="54" t="s">
        <v>279</v>
      </c>
      <c r="H463" s="51" t="s">
        <v>280</v>
      </c>
      <c r="I463" s="55"/>
    </row>
    <row r="464" spans="1:9" ht="36" customHeight="1" x14ac:dyDescent="0.3">
      <c r="A464" s="56" t="s">
        <v>744</v>
      </c>
      <c r="B464" s="56" t="s">
        <v>250</v>
      </c>
      <c r="C464" s="57">
        <v>4</v>
      </c>
      <c r="D464" s="57">
        <v>80</v>
      </c>
      <c r="E464" s="56" t="s">
        <v>282</v>
      </c>
      <c r="F464" s="58" t="s">
        <v>283</v>
      </c>
      <c r="G464" s="59" t="s">
        <v>279</v>
      </c>
      <c r="H464" s="56" t="s">
        <v>284</v>
      </c>
      <c r="I464" s="60"/>
    </row>
    <row r="465" spans="1:9" ht="36" customHeight="1" x14ac:dyDescent="0.3">
      <c r="A465" s="61" t="s">
        <v>745</v>
      </c>
      <c r="B465" s="61" t="s">
        <v>250</v>
      </c>
      <c r="C465" s="62">
        <v>5</v>
      </c>
      <c r="D465" s="62">
        <v>100</v>
      </c>
      <c r="E465" s="61" t="s">
        <v>286</v>
      </c>
      <c r="F465" s="63" t="s">
        <v>287</v>
      </c>
      <c r="G465" s="64" t="s">
        <v>288</v>
      </c>
      <c r="H465" s="61" t="s">
        <v>289</v>
      </c>
      <c r="I465" s="65"/>
    </row>
    <row r="466" spans="1:9" ht="36" customHeight="1" x14ac:dyDescent="0.3">
      <c r="A466" s="41" t="s">
        <v>746</v>
      </c>
      <c r="B466" s="41" t="s">
        <v>252</v>
      </c>
      <c r="C466" s="42">
        <v>0</v>
      </c>
      <c r="D466" s="42">
        <v>0</v>
      </c>
      <c r="E466" s="41" t="s">
        <v>265</v>
      </c>
      <c r="F466" s="43" t="s">
        <v>266</v>
      </c>
      <c r="G466" s="42" t="s">
        <v>267</v>
      </c>
      <c r="H466" s="41" t="s">
        <v>268</v>
      </c>
      <c r="I466" s="44"/>
    </row>
    <row r="467" spans="1:9" ht="36" customHeight="1" x14ac:dyDescent="0.3">
      <c r="A467" s="41" t="s">
        <v>747</v>
      </c>
      <c r="B467" s="41" t="s">
        <v>252</v>
      </c>
      <c r="C467" s="45">
        <v>1</v>
      </c>
      <c r="D467" s="45">
        <v>20</v>
      </c>
      <c r="E467" s="41" t="s">
        <v>270</v>
      </c>
      <c r="F467" s="43" t="s">
        <v>271</v>
      </c>
      <c r="G467" s="42" t="s">
        <v>267</v>
      </c>
      <c r="H467" s="41" t="s">
        <v>272</v>
      </c>
      <c r="I467" s="44"/>
    </row>
    <row r="468" spans="1:9" ht="36" customHeight="1" x14ac:dyDescent="0.3">
      <c r="A468" s="46" t="s">
        <v>748</v>
      </c>
      <c r="B468" s="46" t="s">
        <v>252</v>
      </c>
      <c r="C468" s="47">
        <v>2</v>
      </c>
      <c r="D468" s="47">
        <v>40</v>
      </c>
      <c r="E468" s="46" t="s">
        <v>274</v>
      </c>
      <c r="F468" s="48" t="s">
        <v>275</v>
      </c>
      <c r="G468" s="49" t="s">
        <v>267</v>
      </c>
      <c r="H468" s="46" t="s">
        <v>272</v>
      </c>
      <c r="I468" s="50"/>
    </row>
    <row r="469" spans="1:9" ht="36" customHeight="1" x14ac:dyDescent="0.3">
      <c r="A469" s="51" t="s">
        <v>749</v>
      </c>
      <c r="B469" s="51" t="s">
        <v>252</v>
      </c>
      <c r="C469" s="52">
        <v>3</v>
      </c>
      <c r="D469" s="52">
        <v>60</v>
      </c>
      <c r="E469" s="51" t="s">
        <v>277</v>
      </c>
      <c r="F469" s="53" t="s">
        <v>278</v>
      </c>
      <c r="G469" s="54" t="s">
        <v>279</v>
      </c>
      <c r="H469" s="51" t="s">
        <v>280</v>
      </c>
      <c r="I469" s="55"/>
    </row>
    <row r="470" spans="1:9" ht="36" customHeight="1" x14ac:dyDescent="0.3">
      <c r="A470" s="56" t="s">
        <v>750</v>
      </c>
      <c r="B470" s="56" t="s">
        <v>252</v>
      </c>
      <c r="C470" s="57">
        <v>4</v>
      </c>
      <c r="D470" s="57">
        <v>80</v>
      </c>
      <c r="E470" s="56" t="s">
        <v>282</v>
      </c>
      <c r="F470" s="58" t="s">
        <v>283</v>
      </c>
      <c r="G470" s="59" t="s">
        <v>279</v>
      </c>
      <c r="H470" s="56" t="s">
        <v>284</v>
      </c>
      <c r="I470" s="60"/>
    </row>
    <row r="471" spans="1:9" ht="36" customHeight="1" x14ac:dyDescent="0.3">
      <c r="A471" s="61" t="s">
        <v>751</v>
      </c>
      <c r="B471" s="61" t="s">
        <v>252</v>
      </c>
      <c r="C471" s="62">
        <v>5</v>
      </c>
      <c r="D471" s="62">
        <v>100</v>
      </c>
      <c r="E471" s="61" t="s">
        <v>286</v>
      </c>
      <c r="F471" s="63" t="s">
        <v>287</v>
      </c>
      <c r="G471" s="64" t="s">
        <v>288</v>
      </c>
      <c r="H471" s="61" t="s">
        <v>289</v>
      </c>
      <c r="I471" s="65"/>
    </row>
  </sheetData>
  <mergeCells count="2">
    <mergeCell ref="A1:I1"/>
    <mergeCell ref="A2:H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37"/>
  <sheetViews>
    <sheetView showGridLines="0" tabSelected="1" zoomScaleNormal="100" workbookViewId="0">
      <selection sqref="A1:H1"/>
    </sheetView>
  </sheetViews>
  <sheetFormatPr baseColWidth="10" defaultColWidth="8.6640625" defaultRowHeight="14.4" x14ac:dyDescent="0.3"/>
  <cols>
    <col min="1" max="1" width="14" customWidth="1"/>
    <col min="2" max="2" width="12" customWidth="1"/>
    <col min="3" max="4" width="18" customWidth="1"/>
    <col min="5" max="5" width="14" customWidth="1"/>
    <col min="6" max="6" width="72" customWidth="1"/>
    <col min="7" max="8" width="18" customWidth="1"/>
  </cols>
  <sheetData>
    <row r="1" spans="1:8" ht="36" customHeight="1" x14ac:dyDescent="0.3">
      <c r="A1" s="76" t="s">
        <v>752</v>
      </c>
      <c r="B1" s="76"/>
      <c r="C1" s="76"/>
      <c r="D1" s="76"/>
      <c r="E1" s="76"/>
      <c r="F1" s="76"/>
      <c r="G1" s="76"/>
      <c r="H1" s="76"/>
    </row>
    <row r="2" spans="1:8" ht="19.5" customHeight="1" x14ac:dyDescent="0.3">
      <c r="A2" s="77" t="s">
        <v>1009</v>
      </c>
      <c r="B2" s="77"/>
      <c r="C2" s="77"/>
      <c r="D2" s="77"/>
      <c r="E2" s="77"/>
      <c r="F2" s="77"/>
      <c r="G2" s="77"/>
      <c r="H2" s="77"/>
    </row>
    <row r="3" spans="1:8" ht="30" customHeight="1" x14ac:dyDescent="0.3">
      <c r="A3" s="6" t="s">
        <v>753</v>
      </c>
      <c r="B3" s="6" t="s">
        <v>93</v>
      </c>
      <c r="C3" s="6" t="s">
        <v>754</v>
      </c>
      <c r="D3" s="6" t="s">
        <v>755</v>
      </c>
      <c r="E3" s="6" t="s">
        <v>756</v>
      </c>
      <c r="F3" s="6" t="s">
        <v>757</v>
      </c>
      <c r="G3" s="6" t="s">
        <v>262</v>
      </c>
      <c r="H3" s="6" t="s">
        <v>758</v>
      </c>
    </row>
    <row r="4" spans="1:8" ht="27.75" customHeight="1" x14ac:dyDescent="0.3">
      <c r="A4" s="66" t="s">
        <v>759</v>
      </c>
      <c r="B4" s="66" t="s">
        <v>98</v>
      </c>
      <c r="C4" s="66">
        <v>0</v>
      </c>
      <c r="D4" s="66">
        <v>33</v>
      </c>
      <c r="E4" s="67" t="s">
        <v>760</v>
      </c>
      <c r="F4" s="68" t="s">
        <v>829</v>
      </c>
      <c r="G4" s="66" t="s">
        <v>272</v>
      </c>
      <c r="H4" s="69" t="s">
        <v>761</v>
      </c>
    </row>
    <row r="5" spans="1:8" ht="27.75" customHeight="1" x14ac:dyDescent="0.3">
      <c r="A5" s="36" t="s">
        <v>762</v>
      </c>
      <c r="B5" s="36" t="s">
        <v>98</v>
      </c>
      <c r="C5" s="36">
        <v>34</v>
      </c>
      <c r="D5" s="36">
        <v>66</v>
      </c>
      <c r="E5" s="70" t="s">
        <v>763</v>
      </c>
      <c r="F5" s="23" t="s">
        <v>829</v>
      </c>
      <c r="G5" s="36" t="s">
        <v>272</v>
      </c>
      <c r="H5" s="71" t="s">
        <v>764</v>
      </c>
    </row>
    <row r="6" spans="1:8" ht="27.75" customHeight="1" x14ac:dyDescent="0.3">
      <c r="A6" s="72" t="s">
        <v>765</v>
      </c>
      <c r="B6" s="72" t="s">
        <v>98</v>
      </c>
      <c r="C6" s="72">
        <v>67</v>
      </c>
      <c r="D6" s="72">
        <v>99</v>
      </c>
      <c r="E6" s="73" t="s">
        <v>766</v>
      </c>
      <c r="F6" s="74" t="s">
        <v>829</v>
      </c>
      <c r="G6" s="72" t="s">
        <v>280</v>
      </c>
      <c r="H6" s="69" t="s">
        <v>761</v>
      </c>
    </row>
    <row r="7" spans="1:8" ht="27.75" customHeight="1" x14ac:dyDescent="0.3">
      <c r="A7" s="66" t="s">
        <v>767</v>
      </c>
      <c r="B7" s="66" t="s">
        <v>101</v>
      </c>
      <c r="C7" s="66">
        <v>0</v>
      </c>
      <c r="D7" s="66">
        <v>33</v>
      </c>
      <c r="E7" s="67" t="s">
        <v>760</v>
      </c>
      <c r="F7" s="68" t="s">
        <v>829</v>
      </c>
      <c r="G7" s="66" t="s">
        <v>272</v>
      </c>
      <c r="H7" s="69" t="s">
        <v>761</v>
      </c>
    </row>
    <row r="8" spans="1:8" ht="27.75" customHeight="1" x14ac:dyDescent="0.3">
      <c r="A8" s="36" t="s">
        <v>768</v>
      </c>
      <c r="B8" s="36" t="s">
        <v>101</v>
      </c>
      <c r="C8" s="36">
        <v>34</v>
      </c>
      <c r="D8" s="36">
        <v>66</v>
      </c>
      <c r="E8" s="70" t="s">
        <v>763</v>
      </c>
      <c r="F8" s="23" t="s">
        <v>829</v>
      </c>
      <c r="G8" s="36" t="s">
        <v>280</v>
      </c>
      <c r="H8" s="69" t="s">
        <v>761</v>
      </c>
    </row>
    <row r="9" spans="1:8" ht="27.75" customHeight="1" x14ac:dyDescent="0.3">
      <c r="A9" s="72" t="s">
        <v>769</v>
      </c>
      <c r="B9" s="72" t="s">
        <v>101</v>
      </c>
      <c r="C9" s="72">
        <v>67</v>
      </c>
      <c r="D9" s="72">
        <v>99</v>
      </c>
      <c r="E9" s="73" t="s">
        <v>766</v>
      </c>
      <c r="F9" s="74" t="s">
        <v>829</v>
      </c>
      <c r="G9" s="72" t="s">
        <v>280</v>
      </c>
      <c r="H9" s="71" t="s">
        <v>764</v>
      </c>
    </row>
    <row r="10" spans="1:8" ht="27.75" customHeight="1" x14ac:dyDescent="0.3">
      <c r="A10" s="66" t="s">
        <v>770</v>
      </c>
      <c r="B10" s="66" t="s">
        <v>103</v>
      </c>
      <c r="C10" s="66">
        <v>0</v>
      </c>
      <c r="D10" s="66">
        <v>33</v>
      </c>
      <c r="E10" s="67" t="s">
        <v>760</v>
      </c>
      <c r="F10" s="68" t="s">
        <v>829</v>
      </c>
      <c r="G10" s="66" t="s">
        <v>272</v>
      </c>
      <c r="H10" s="69" t="s">
        <v>761</v>
      </c>
    </row>
    <row r="11" spans="1:8" ht="27.75" customHeight="1" x14ac:dyDescent="0.3">
      <c r="A11" s="36" t="s">
        <v>771</v>
      </c>
      <c r="B11" s="36" t="s">
        <v>103</v>
      </c>
      <c r="C11" s="36">
        <v>34</v>
      </c>
      <c r="D11" s="36">
        <v>66</v>
      </c>
      <c r="E11" s="70" t="s">
        <v>763</v>
      </c>
      <c r="F11" s="23" t="s">
        <v>829</v>
      </c>
      <c r="G11" s="36" t="s">
        <v>272</v>
      </c>
      <c r="H11" s="71" t="s">
        <v>764</v>
      </c>
    </row>
    <row r="12" spans="1:8" ht="27.75" customHeight="1" x14ac:dyDescent="0.3">
      <c r="A12" s="72" t="s">
        <v>772</v>
      </c>
      <c r="B12" s="72" t="s">
        <v>103</v>
      </c>
      <c r="C12" s="72">
        <v>67</v>
      </c>
      <c r="D12" s="72">
        <v>99</v>
      </c>
      <c r="E12" s="73" t="s">
        <v>766</v>
      </c>
      <c r="F12" s="74" t="s">
        <v>829</v>
      </c>
      <c r="G12" s="72" t="s">
        <v>280</v>
      </c>
      <c r="H12" s="75" t="s">
        <v>773</v>
      </c>
    </row>
    <row r="13" spans="1:8" ht="27.75" customHeight="1" x14ac:dyDescent="0.3">
      <c r="A13" s="66" t="s">
        <v>774</v>
      </c>
      <c r="B13" s="66" t="s">
        <v>105</v>
      </c>
      <c r="C13" s="66">
        <v>0</v>
      </c>
      <c r="D13" s="66">
        <v>33</v>
      </c>
      <c r="E13" s="67" t="s">
        <v>760</v>
      </c>
      <c r="F13" s="68" t="s">
        <v>829</v>
      </c>
      <c r="G13" s="66" t="s">
        <v>272</v>
      </c>
      <c r="H13" s="69" t="s">
        <v>761</v>
      </c>
    </row>
    <row r="14" spans="1:8" ht="27.75" customHeight="1" x14ac:dyDescent="0.3">
      <c r="A14" s="36" t="s">
        <v>775</v>
      </c>
      <c r="B14" s="36" t="s">
        <v>105</v>
      </c>
      <c r="C14" s="36">
        <v>34</v>
      </c>
      <c r="D14" s="36">
        <v>66</v>
      </c>
      <c r="E14" s="70" t="s">
        <v>763</v>
      </c>
      <c r="F14" s="23" t="s">
        <v>829</v>
      </c>
      <c r="G14" s="36" t="s">
        <v>272</v>
      </c>
      <c r="H14" s="71" t="s">
        <v>764</v>
      </c>
    </row>
    <row r="15" spans="1:8" ht="27.75" customHeight="1" x14ac:dyDescent="0.3">
      <c r="A15" s="72" t="s">
        <v>776</v>
      </c>
      <c r="B15" s="72" t="s">
        <v>105</v>
      </c>
      <c r="C15" s="72">
        <v>67</v>
      </c>
      <c r="D15" s="72">
        <v>99</v>
      </c>
      <c r="E15" s="73" t="s">
        <v>766</v>
      </c>
      <c r="F15" s="74" t="s">
        <v>829</v>
      </c>
      <c r="G15" s="72" t="s">
        <v>280</v>
      </c>
      <c r="H15" s="75" t="s">
        <v>773</v>
      </c>
    </row>
    <row r="16" spans="1:8" ht="27.75" customHeight="1" x14ac:dyDescent="0.3">
      <c r="A16" s="66" t="s">
        <v>777</v>
      </c>
      <c r="B16" s="66" t="s">
        <v>107</v>
      </c>
      <c r="C16" s="66">
        <v>0</v>
      </c>
      <c r="D16" s="66">
        <v>33</v>
      </c>
      <c r="E16" s="67" t="s">
        <v>760</v>
      </c>
      <c r="F16" s="68" t="s">
        <v>829</v>
      </c>
      <c r="G16" s="66" t="s">
        <v>272</v>
      </c>
      <c r="H16" s="69" t="s">
        <v>761</v>
      </c>
    </row>
    <row r="17" spans="1:8" ht="27.75" customHeight="1" x14ac:dyDescent="0.3">
      <c r="A17" s="36" t="s">
        <v>778</v>
      </c>
      <c r="B17" s="36" t="s">
        <v>107</v>
      </c>
      <c r="C17" s="36">
        <v>34</v>
      </c>
      <c r="D17" s="36">
        <v>66</v>
      </c>
      <c r="E17" s="70" t="s">
        <v>763</v>
      </c>
      <c r="F17" s="23" t="s">
        <v>829</v>
      </c>
      <c r="G17" s="36" t="s">
        <v>272</v>
      </c>
      <c r="H17" s="71" t="s">
        <v>764</v>
      </c>
    </row>
    <row r="18" spans="1:8" ht="27.75" customHeight="1" x14ac:dyDescent="0.3">
      <c r="A18" s="72" t="s">
        <v>779</v>
      </c>
      <c r="B18" s="72" t="s">
        <v>107</v>
      </c>
      <c r="C18" s="72">
        <v>67</v>
      </c>
      <c r="D18" s="72">
        <v>99</v>
      </c>
      <c r="E18" s="73" t="s">
        <v>766</v>
      </c>
      <c r="F18" s="74" t="s">
        <v>829</v>
      </c>
      <c r="G18" s="72" t="s">
        <v>280</v>
      </c>
      <c r="H18" s="69" t="s">
        <v>761</v>
      </c>
    </row>
    <row r="19" spans="1:8" ht="27.75" customHeight="1" x14ac:dyDescent="0.3">
      <c r="A19" s="66" t="s">
        <v>780</v>
      </c>
      <c r="B19" s="66" t="s">
        <v>109</v>
      </c>
      <c r="C19" s="66">
        <v>0</v>
      </c>
      <c r="D19" s="66">
        <v>33</v>
      </c>
      <c r="E19" s="67" t="s">
        <v>760</v>
      </c>
      <c r="F19" s="68" t="s">
        <v>829</v>
      </c>
      <c r="G19" s="66" t="s">
        <v>272</v>
      </c>
      <c r="H19" s="69" t="s">
        <v>761</v>
      </c>
    </row>
    <row r="20" spans="1:8" ht="27.75" customHeight="1" x14ac:dyDescent="0.3">
      <c r="A20" s="36" t="s">
        <v>781</v>
      </c>
      <c r="B20" s="36" t="s">
        <v>109</v>
      </c>
      <c r="C20" s="36">
        <v>34</v>
      </c>
      <c r="D20" s="36">
        <v>66</v>
      </c>
      <c r="E20" s="70" t="s">
        <v>763</v>
      </c>
      <c r="F20" s="23" t="s">
        <v>829</v>
      </c>
      <c r="G20" s="36" t="s">
        <v>280</v>
      </c>
      <c r="H20" s="71" t="s">
        <v>764</v>
      </c>
    </row>
    <row r="21" spans="1:8" ht="27.75" customHeight="1" x14ac:dyDescent="0.3">
      <c r="A21" s="72" t="s">
        <v>782</v>
      </c>
      <c r="B21" s="72" t="s">
        <v>109</v>
      </c>
      <c r="C21" s="72">
        <v>67</v>
      </c>
      <c r="D21" s="72">
        <v>99</v>
      </c>
      <c r="E21" s="73" t="s">
        <v>766</v>
      </c>
      <c r="F21" s="74" t="s">
        <v>829</v>
      </c>
      <c r="G21" s="72" t="s">
        <v>272</v>
      </c>
      <c r="H21" s="75" t="s">
        <v>773</v>
      </c>
    </row>
    <row r="22" spans="1:8" ht="27.75" customHeight="1" x14ac:dyDescent="0.3">
      <c r="A22" s="66" t="s">
        <v>783</v>
      </c>
      <c r="B22" s="66" t="s">
        <v>111</v>
      </c>
      <c r="C22" s="66">
        <v>0</v>
      </c>
      <c r="D22" s="66">
        <v>33</v>
      </c>
      <c r="E22" s="67" t="s">
        <v>760</v>
      </c>
      <c r="F22" s="68" t="s">
        <v>829</v>
      </c>
      <c r="G22" s="66" t="s">
        <v>272</v>
      </c>
      <c r="H22" s="69" t="s">
        <v>761</v>
      </c>
    </row>
    <row r="23" spans="1:8" ht="27.75" customHeight="1" x14ac:dyDescent="0.3">
      <c r="A23" s="36" t="s">
        <v>784</v>
      </c>
      <c r="B23" s="36" t="s">
        <v>111</v>
      </c>
      <c r="C23" s="36">
        <v>34</v>
      </c>
      <c r="D23" s="36">
        <v>66</v>
      </c>
      <c r="E23" s="70" t="s">
        <v>763</v>
      </c>
      <c r="F23" s="23" t="s">
        <v>829</v>
      </c>
      <c r="G23" s="36" t="s">
        <v>280</v>
      </c>
      <c r="H23" s="69" t="s">
        <v>761</v>
      </c>
    </row>
    <row r="24" spans="1:8" ht="27.75" customHeight="1" x14ac:dyDescent="0.3">
      <c r="A24" s="72" t="s">
        <v>785</v>
      </c>
      <c r="B24" s="72" t="s">
        <v>111</v>
      </c>
      <c r="C24" s="72">
        <v>67</v>
      </c>
      <c r="D24" s="72">
        <v>99</v>
      </c>
      <c r="E24" s="73" t="s">
        <v>766</v>
      </c>
      <c r="F24" s="74" t="s">
        <v>829</v>
      </c>
      <c r="G24" s="72" t="s">
        <v>280</v>
      </c>
      <c r="H24" s="71" t="s">
        <v>764</v>
      </c>
    </row>
    <row r="25" spans="1:8" ht="27.75" customHeight="1" x14ac:dyDescent="0.3">
      <c r="A25" s="66" t="s">
        <v>786</v>
      </c>
      <c r="B25" s="66" t="s">
        <v>113</v>
      </c>
      <c r="C25" s="66">
        <v>0</v>
      </c>
      <c r="D25" s="66">
        <v>33</v>
      </c>
      <c r="E25" s="67" t="s">
        <v>760</v>
      </c>
      <c r="F25" s="68" t="s">
        <v>829</v>
      </c>
      <c r="G25" s="66" t="s">
        <v>272</v>
      </c>
      <c r="H25" s="69" t="s">
        <v>761</v>
      </c>
    </row>
    <row r="26" spans="1:8" ht="27.75" customHeight="1" x14ac:dyDescent="0.3">
      <c r="A26" s="36" t="s">
        <v>787</v>
      </c>
      <c r="B26" s="36" t="s">
        <v>113</v>
      </c>
      <c r="C26" s="36">
        <v>34</v>
      </c>
      <c r="D26" s="36">
        <v>66</v>
      </c>
      <c r="E26" s="70" t="s">
        <v>763</v>
      </c>
      <c r="F26" s="23" t="s">
        <v>829</v>
      </c>
      <c r="G26" s="36" t="s">
        <v>272</v>
      </c>
      <c r="H26" s="71" t="s">
        <v>764</v>
      </c>
    </row>
    <row r="27" spans="1:8" ht="27.75" customHeight="1" x14ac:dyDescent="0.3">
      <c r="A27" s="72" t="s">
        <v>788</v>
      </c>
      <c r="B27" s="72" t="s">
        <v>113</v>
      </c>
      <c r="C27" s="72">
        <v>67</v>
      </c>
      <c r="D27" s="72">
        <v>99</v>
      </c>
      <c r="E27" s="73" t="s">
        <v>766</v>
      </c>
      <c r="F27" s="74" t="s">
        <v>829</v>
      </c>
      <c r="G27" s="72" t="s">
        <v>280</v>
      </c>
      <c r="H27" s="75" t="s">
        <v>773</v>
      </c>
    </row>
    <row r="28" spans="1:8" ht="27.75" customHeight="1" x14ac:dyDescent="0.3">
      <c r="A28" s="66" t="s">
        <v>789</v>
      </c>
      <c r="B28" s="66" t="s">
        <v>115</v>
      </c>
      <c r="C28" s="66">
        <v>0</v>
      </c>
      <c r="D28" s="66">
        <v>33</v>
      </c>
      <c r="E28" s="67" t="s">
        <v>760</v>
      </c>
      <c r="F28" s="68" t="s">
        <v>829</v>
      </c>
      <c r="G28" s="66" t="s">
        <v>272</v>
      </c>
      <c r="H28" s="69" t="s">
        <v>761</v>
      </c>
    </row>
    <row r="29" spans="1:8" ht="27.75" customHeight="1" x14ac:dyDescent="0.3">
      <c r="A29" s="36" t="s">
        <v>790</v>
      </c>
      <c r="B29" s="36" t="s">
        <v>115</v>
      </c>
      <c r="C29" s="36">
        <v>34</v>
      </c>
      <c r="D29" s="36">
        <v>66</v>
      </c>
      <c r="E29" s="70" t="s">
        <v>763</v>
      </c>
      <c r="F29" s="23" t="s">
        <v>829</v>
      </c>
      <c r="G29" s="36" t="s">
        <v>272</v>
      </c>
      <c r="H29" s="71" t="s">
        <v>764</v>
      </c>
    </row>
    <row r="30" spans="1:8" ht="27.75" customHeight="1" x14ac:dyDescent="0.3">
      <c r="A30" s="72" t="s">
        <v>791</v>
      </c>
      <c r="B30" s="72" t="s">
        <v>115</v>
      </c>
      <c r="C30" s="72">
        <v>67</v>
      </c>
      <c r="D30" s="72">
        <v>99</v>
      </c>
      <c r="E30" s="73" t="s">
        <v>766</v>
      </c>
      <c r="F30" s="74" t="s">
        <v>829</v>
      </c>
      <c r="G30" s="72" t="s">
        <v>280</v>
      </c>
      <c r="H30" s="71" t="s">
        <v>764</v>
      </c>
    </row>
    <row r="31" spans="1:8" ht="27.75" customHeight="1" x14ac:dyDescent="0.3">
      <c r="A31" s="66" t="s">
        <v>792</v>
      </c>
      <c r="B31" s="66" t="s">
        <v>117</v>
      </c>
      <c r="C31" s="66">
        <v>0</v>
      </c>
      <c r="D31" s="66">
        <v>33</v>
      </c>
      <c r="E31" s="67" t="s">
        <v>760</v>
      </c>
      <c r="F31" s="68" t="s">
        <v>829</v>
      </c>
      <c r="G31" s="66" t="s">
        <v>272</v>
      </c>
      <c r="H31" s="69" t="s">
        <v>761</v>
      </c>
    </row>
    <row r="32" spans="1:8" ht="27.75" customHeight="1" x14ac:dyDescent="0.3">
      <c r="A32" s="36" t="s">
        <v>793</v>
      </c>
      <c r="B32" s="36" t="s">
        <v>117</v>
      </c>
      <c r="C32" s="36">
        <v>34</v>
      </c>
      <c r="D32" s="36">
        <v>66</v>
      </c>
      <c r="E32" s="70" t="s">
        <v>763</v>
      </c>
      <c r="F32" s="23" t="s">
        <v>829</v>
      </c>
      <c r="G32" s="36" t="s">
        <v>280</v>
      </c>
      <c r="H32" s="69" t="s">
        <v>761</v>
      </c>
    </row>
    <row r="33" spans="1:8" ht="27.75" customHeight="1" x14ac:dyDescent="0.3">
      <c r="A33" s="72" t="s">
        <v>794</v>
      </c>
      <c r="B33" s="72" t="s">
        <v>117</v>
      </c>
      <c r="C33" s="72">
        <v>67</v>
      </c>
      <c r="D33" s="72">
        <v>99</v>
      </c>
      <c r="E33" s="73" t="s">
        <v>766</v>
      </c>
      <c r="F33" s="74" t="s">
        <v>829</v>
      </c>
      <c r="G33" s="72" t="s">
        <v>280</v>
      </c>
      <c r="H33" s="75" t="s">
        <v>773</v>
      </c>
    </row>
    <row r="34" spans="1:8" ht="27.75" customHeight="1" x14ac:dyDescent="0.3">
      <c r="A34" s="66" t="s">
        <v>795</v>
      </c>
      <c r="B34" s="66" t="s">
        <v>119</v>
      </c>
      <c r="C34" s="66">
        <v>0</v>
      </c>
      <c r="D34" s="66">
        <v>33</v>
      </c>
      <c r="E34" s="67" t="s">
        <v>760</v>
      </c>
      <c r="F34" s="68" t="s">
        <v>829</v>
      </c>
      <c r="G34" s="66" t="s">
        <v>272</v>
      </c>
      <c r="H34" s="69" t="s">
        <v>761</v>
      </c>
    </row>
    <row r="35" spans="1:8" ht="27.75" customHeight="1" x14ac:dyDescent="0.3">
      <c r="A35" s="36" t="s">
        <v>796</v>
      </c>
      <c r="B35" s="36" t="s">
        <v>119</v>
      </c>
      <c r="C35" s="36">
        <v>34</v>
      </c>
      <c r="D35" s="36">
        <v>66</v>
      </c>
      <c r="E35" s="70" t="s">
        <v>763</v>
      </c>
      <c r="F35" s="23" t="s">
        <v>829</v>
      </c>
      <c r="G35" s="36" t="s">
        <v>280</v>
      </c>
      <c r="H35" s="71" t="s">
        <v>764</v>
      </c>
    </row>
    <row r="36" spans="1:8" ht="27.75" customHeight="1" x14ac:dyDescent="0.3">
      <c r="A36" s="72" t="s">
        <v>797</v>
      </c>
      <c r="B36" s="72" t="s">
        <v>119</v>
      </c>
      <c r="C36" s="72">
        <v>67</v>
      </c>
      <c r="D36" s="72">
        <v>99</v>
      </c>
      <c r="E36" s="73" t="s">
        <v>766</v>
      </c>
      <c r="F36" s="74" t="s">
        <v>829</v>
      </c>
      <c r="G36" s="72" t="s">
        <v>280</v>
      </c>
      <c r="H36" s="75" t="s">
        <v>773</v>
      </c>
    </row>
    <row r="37" spans="1:8" ht="27.75" customHeight="1" x14ac:dyDescent="0.3">
      <c r="A37" s="66" t="s">
        <v>798</v>
      </c>
      <c r="B37" s="66" t="s">
        <v>121</v>
      </c>
      <c r="C37" s="66">
        <v>0</v>
      </c>
      <c r="D37" s="66">
        <v>33</v>
      </c>
      <c r="E37" s="67" t="s">
        <v>760</v>
      </c>
      <c r="F37" s="68" t="s">
        <v>829</v>
      </c>
      <c r="G37" s="66" t="s">
        <v>272</v>
      </c>
      <c r="H37" s="69" t="s">
        <v>761</v>
      </c>
    </row>
    <row r="38" spans="1:8" ht="27.75" customHeight="1" x14ac:dyDescent="0.3">
      <c r="A38" s="36" t="s">
        <v>799</v>
      </c>
      <c r="B38" s="36" t="s">
        <v>121</v>
      </c>
      <c r="C38" s="36">
        <v>34</v>
      </c>
      <c r="D38" s="36">
        <v>66</v>
      </c>
      <c r="E38" s="70" t="s">
        <v>763</v>
      </c>
      <c r="F38" s="23" t="s">
        <v>829</v>
      </c>
      <c r="G38" s="36" t="s">
        <v>280</v>
      </c>
      <c r="H38" s="69" t="s">
        <v>761</v>
      </c>
    </row>
    <row r="39" spans="1:8" ht="27.75" customHeight="1" x14ac:dyDescent="0.3">
      <c r="A39" s="72" t="s">
        <v>800</v>
      </c>
      <c r="B39" s="72" t="s">
        <v>121</v>
      </c>
      <c r="C39" s="72">
        <v>67</v>
      </c>
      <c r="D39" s="72">
        <v>99</v>
      </c>
      <c r="E39" s="73" t="s">
        <v>766</v>
      </c>
      <c r="F39" s="74" t="s">
        <v>829</v>
      </c>
      <c r="G39" s="72" t="s">
        <v>280</v>
      </c>
      <c r="H39" s="71" t="s">
        <v>764</v>
      </c>
    </row>
    <row r="40" spans="1:8" ht="27.75" customHeight="1" x14ac:dyDescent="0.3">
      <c r="A40" s="66" t="s">
        <v>801</v>
      </c>
      <c r="B40" s="66" t="s">
        <v>123</v>
      </c>
      <c r="C40" s="66">
        <v>0</v>
      </c>
      <c r="D40" s="66">
        <v>33</v>
      </c>
      <c r="E40" s="67" t="s">
        <v>760</v>
      </c>
      <c r="F40" s="68" t="s">
        <v>829</v>
      </c>
      <c r="G40" s="66" t="s">
        <v>272</v>
      </c>
      <c r="H40" s="69" t="s">
        <v>761</v>
      </c>
    </row>
    <row r="41" spans="1:8" ht="27.75" customHeight="1" x14ac:dyDescent="0.3">
      <c r="A41" s="36" t="s">
        <v>802</v>
      </c>
      <c r="B41" s="36" t="s">
        <v>123</v>
      </c>
      <c r="C41" s="36">
        <v>34</v>
      </c>
      <c r="D41" s="36">
        <v>66</v>
      </c>
      <c r="E41" s="70" t="s">
        <v>763</v>
      </c>
      <c r="F41" s="23" t="s">
        <v>829</v>
      </c>
      <c r="G41" s="36" t="s">
        <v>272</v>
      </c>
      <c r="H41" s="69" t="s">
        <v>761</v>
      </c>
    </row>
    <row r="42" spans="1:8" ht="27.75" customHeight="1" x14ac:dyDescent="0.3">
      <c r="A42" s="72" t="s">
        <v>803</v>
      </c>
      <c r="B42" s="72" t="s">
        <v>123</v>
      </c>
      <c r="C42" s="72">
        <v>67</v>
      </c>
      <c r="D42" s="72">
        <v>99</v>
      </c>
      <c r="E42" s="73" t="s">
        <v>766</v>
      </c>
      <c r="F42" s="74" t="s">
        <v>829</v>
      </c>
      <c r="G42" s="72" t="s">
        <v>280</v>
      </c>
      <c r="H42" s="71" t="s">
        <v>764</v>
      </c>
    </row>
    <row r="43" spans="1:8" ht="27.75" customHeight="1" x14ac:dyDescent="0.3">
      <c r="A43" s="66" t="s">
        <v>804</v>
      </c>
      <c r="B43" s="66" t="s">
        <v>125</v>
      </c>
      <c r="C43" s="66">
        <v>0</v>
      </c>
      <c r="D43" s="66">
        <v>33</v>
      </c>
      <c r="E43" s="67" t="s">
        <v>760</v>
      </c>
      <c r="F43" s="68" t="s">
        <v>829</v>
      </c>
      <c r="G43" s="66" t="s">
        <v>272</v>
      </c>
      <c r="H43" s="71" t="s">
        <v>764</v>
      </c>
    </row>
    <row r="44" spans="1:8" ht="27.75" customHeight="1" x14ac:dyDescent="0.3">
      <c r="A44" s="36" t="s">
        <v>805</v>
      </c>
      <c r="B44" s="36" t="s">
        <v>125</v>
      </c>
      <c r="C44" s="36">
        <v>34</v>
      </c>
      <c r="D44" s="36">
        <v>66</v>
      </c>
      <c r="E44" s="70" t="s">
        <v>763</v>
      </c>
      <c r="F44" s="23" t="s">
        <v>829</v>
      </c>
      <c r="G44" s="36" t="s">
        <v>280</v>
      </c>
      <c r="H44" s="71" t="s">
        <v>764</v>
      </c>
    </row>
    <row r="45" spans="1:8" ht="27.75" customHeight="1" x14ac:dyDescent="0.3">
      <c r="A45" s="72" t="s">
        <v>806</v>
      </c>
      <c r="B45" s="72" t="s">
        <v>125</v>
      </c>
      <c r="C45" s="72">
        <v>67</v>
      </c>
      <c r="D45" s="72">
        <v>99</v>
      </c>
      <c r="E45" s="73" t="s">
        <v>766</v>
      </c>
      <c r="F45" s="74" t="s">
        <v>829</v>
      </c>
      <c r="G45" s="72" t="s">
        <v>280</v>
      </c>
      <c r="H45" s="75" t="s">
        <v>773</v>
      </c>
    </row>
    <row r="46" spans="1:8" ht="27.75" customHeight="1" x14ac:dyDescent="0.3">
      <c r="A46" s="66" t="s">
        <v>807</v>
      </c>
      <c r="B46" s="66" t="s">
        <v>127</v>
      </c>
      <c r="C46" s="66">
        <v>0</v>
      </c>
      <c r="D46" s="66">
        <v>33</v>
      </c>
      <c r="E46" s="67" t="s">
        <v>760</v>
      </c>
      <c r="F46" s="68" t="s">
        <v>829</v>
      </c>
      <c r="G46" s="66" t="s">
        <v>272</v>
      </c>
      <c r="H46" s="69" t="s">
        <v>761</v>
      </c>
    </row>
    <row r="47" spans="1:8" ht="27.75" customHeight="1" x14ac:dyDescent="0.3">
      <c r="A47" s="36" t="s">
        <v>808</v>
      </c>
      <c r="B47" s="36" t="s">
        <v>127</v>
      </c>
      <c r="C47" s="36">
        <v>34</v>
      </c>
      <c r="D47" s="36">
        <v>66</v>
      </c>
      <c r="E47" s="70" t="s">
        <v>763</v>
      </c>
      <c r="F47" s="23" t="s">
        <v>829</v>
      </c>
      <c r="G47" s="36" t="s">
        <v>280</v>
      </c>
      <c r="H47" s="71" t="s">
        <v>764</v>
      </c>
    </row>
    <row r="48" spans="1:8" ht="27.75" customHeight="1" x14ac:dyDescent="0.3">
      <c r="A48" s="72" t="s">
        <v>809</v>
      </c>
      <c r="B48" s="72" t="s">
        <v>127</v>
      </c>
      <c r="C48" s="72">
        <v>67</v>
      </c>
      <c r="D48" s="72">
        <v>99</v>
      </c>
      <c r="E48" s="73" t="s">
        <v>766</v>
      </c>
      <c r="F48" s="74" t="s">
        <v>829</v>
      </c>
      <c r="G48" s="72" t="s">
        <v>272</v>
      </c>
      <c r="H48" s="75" t="s">
        <v>773</v>
      </c>
    </row>
    <row r="49" spans="1:8" ht="27.75" customHeight="1" x14ac:dyDescent="0.3">
      <c r="A49" s="66" t="s">
        <v>810</v>
      </c>
      <c r="B49" s="66" t="s">
        <v>129</v>
      </c>
      <c r="C49" s="66">
        <v>0</v>
      </c>
      <c r="D49" s="66">
        <v>33</v>
      </c>
      <c r="E49" s="67" t="s">
        <v>760</v>
      </c>
      <c r="F49" s="68" t="s">
        <v>829</v>
      </c>
      <c r="G49" s="66" t="s">
        <v>272</v>
      </c>
      <c r="H49" s="69" t="s">
        <v>761</v>
      </c>
    </row>
    <row r="50" spans="1:8" ht="27.75" customHeight="1" x14ac:dyDescent="0.3">
      <c r="A50" s="36" t="s">
        <v>811</v>
      </c>
      <c r="B50" s="36" t="s">
        <v>129</v>
      </c>
      <c r="C50" s="36">
        <v>34</v>
      </c>
      <c r="D50" s="36">
        <v>66</v>
      </c>
      <c r="E50" s="70" t="s">
        <v>763</v>
      </c>
      <c r="F50" s="23" t="s">
        <v>829</v>
      </c>
      <c r="G50" s="36" t="s">
        <v>272</v>
      </c>
      <c r="H50" s="69" t="s">
        <v>761</v>
      </c>
    </row>
    <row r="51" spans="1:8" ht="27.75" customHeight="1" x14ac:dyDescent="0.3">
      <c r="A51" s="72" t="s">
        <v>812</v>
      </c>
      <c r="B51" s="72" t="s">
        <v>129</v>
      </c>
      <c r="C51" s="72">
        <v>67</v>
      </c>
      <c r="D51" s="72">
        <v>99</v>
      </c>
      <c r="E51" s="73" t="s">
        <v>766</v>
      </c>
      <c r="F51" s="74" t="s">
        <v>829</v>
      </c>
      <c r="G51" s="72" t="s">
        <v>280</v>
      </c>
      <c r="H51" s="71" t="s">
        <v>764</v>
      </c>
    </row>
    <row r="52" spans="1:8" ht="27.75" customHeight="1" x14ac:dyDescent="0.3">
      <c r="A52" s="66" t="s">
        <v>813</v>
      </c>
      <c r="B52" s="66" t="s">
        <v>131</v>
      </c>
      <c r="C52" s="66">
        <v>0</v>
      </c>
      <c r="D52" s="66">
        <v>33</v>
      </c>
      <c r="E52" s="67" t="s">
        <v>760</v>
      </c>
      <c r="F52" s="68" t="s">
        <v>829</v>
      </c>
      <c r="G52" s="66" t="s">
        <v>272</v>
      </c>
      <c r="H52" s="69" t="s">
        <v>761</v>
      </c>
    </row>
    <row r="53" spans="1:8" ht="27.75" customHeight="1" x14ac:dyDescent="0.3">
      <c r="A53" s="36" t="s">
        <v>814</v>
      </c>
      <c r="B53" s="36" t="s">
        <v>131</v>
      </c>
      <c r="C53" s="36">
        <v>34</v>
      </c>
      <c r="D53" s="36">
        <v>66</v>
      </c>
      <c r="E53" s="70" t="s">
        <v>763</v>
      </c>
      <c r="F53" s="23" t="s">
        <v>829</v>
      </c>
      <c r="G53" s="36" t="s">
        <v>272</v>
      </c>
      <c r="H53" s="69" t="s">
        <v>761</v>
      </c>
    </row>
    <row r="54" spans="1:8" ht="27.75" customHeight="1" x14ac:dyDescent="0.3">
      <c r="A54" s="72" t="s">
        <v>815</v>
      </c>
      <c r="B54" s="72" t="s">
        <v>131</v>
      </c>
      <c r="C54" s="72">
        <v>67</v>
      </c>
      <c r="D54" s="72">
        <v>99</v>
      </c>
      <c r="E54" s="73" t="s">
        <v>766</v>
      </c>
      <c r="F54" s="74" t="s">
        <v>829</v>
      </c>
      <c r="G54" s="72" t="s">
        <v>280</v>
      </c>
      <c r="H54" s="75" t="s">
        <v>773</v>
      </c>
    </row>
    <row r="55" spans="1:8" ht="27.75" customHeight="1" x14ac:dyDescent="0.3">
      <c r="A55" s="66" t="s">
        <v>816</v>
      </c>
      <c r="B55" s="66" t="s">
        <v>133</v>
      </c>
      <c r="C55" s="66">
        <v>0</v>
      </c>
      <c r="D55" s="66">
        <v>33</v>
      </c>
      <c r="E55" s="67" t="s">
        <v>760</v>
      </c>
      <c r="F55" s="68" t="s">
        <v>829</v>
      </c>
      <c r="G55" s="66" t="s">
        <v>272</v>
      </c>
      <c r="H55" s="69" t="s">
        <v>761</v>
      </c>
    </row>
    <row r="56" spans="1:8" ht="27.75" customHeight="1" x14ac:dyDescent="0.3">
      <c r="A56" s="36" t="s">
        <v>817</v>
      </c>
      <c r="B56" s="36" t="s">
        <v>133</v>
      </c>
      <c r="C56" s="36">
        <v>34</v>
      </c>
      <c r="D56" s="36">
        <v>66</v>
      </c>
      <c r="E56" s="70" t="s">
        <v>763</v>
      </c>
      <c r="F56" s="23" t="s">
        <v>829</v>
      </c>
      <c r="G56" s="36" t="s">
        <v>280</v>
      </c>
      <c r="H56" s="71" t="s">
        <v>764</v>
      </c>
    </row>
    <row r="57" spans="1:8" ht="27.75" customHeight="1" x14ac:dyDescent="0.3">
      <c r="A57" s="72" t="s">
        <v>818</v>
      </c>
      <c r="B57" s="72" t="s">
        <v>133</v>
      </c>
      <c r="C57" s="72">
        <v>67</v>
      </c>
      <c r="D57" s="72">
        <v>99</v>
      </c>
      <c r="E57" s="73" t="s">
        <v>766</v>
      </c>
      <c r="F57" s="74" t="s">
        <v>829</v>
      </c>
      <c r="G57" s="72" t="s">
        <v>280</v>
      </c>
      <c r="H57" s="71" t="s">
        <v>764</v>
      </c>
    </row>
    <row r="58" spans="1:8" ht="27.75" customHeight="1" x14ac:dyDescent="0.3">
      <c r="A58" s="66" t="s">
        <v>819</v>
      </c>
      <c r="B58" s="66" t="s">
        <v>135</v>
      </c>
      <c r="C58" s="66">
        <v>0</v>
      </c>
      <c r="D58" s="66">
        <v>33</v>
      </c>
      <c r="E58" s="67" t="s">
        <v>760</v>
      </c>
      <c r="F58" s="68" t="s">
        <v>829</v>
      </c>
      <c r="G58" s="66" t="s">
        <v>272</v>
      </c>
      <c r="H58" s="69" t="s">
        <v>761</v>
      </c>
    </row>
    <row r="59" spans="1:8" ht="27.75" customHeight="1" x14ac:dyDescent="0.3">
      <c r="A59" s="36" t="s">
        <v>820</v>
      </c>
      <c r="B59" s="36" t="s">
        <v>135</v>
      </c>
      <c r="C59" s="36">
        <v>34</v>
      </c>
      <c r="D59" s="36">
        <v>66</v>
      </c>
      <c r="E59" s="70" t="s">
        <v>763</v>
      </c>
      <c r="F59" s="23" t="s">
        <v>829</v>
      </c>
      <c r="G59" s="36" t="s">
        <v>272</v>
      </c>
      <c r="H59" s="69" t="s">
        <v>761</v>
      </c>
    </row>
    <row r="60" spans="1:8" ht="27.75" customHeight="1" x14ac:dyDescent="0.3">
      <c r="A60" s="72" t="s">
        <v>821</v>
      </c>
      <c r="B60" s="72" t="s">
        <v>135</v>
      </c>
      <c r="C60" s="72">
        <v>67</v>
      </c>
      <c r="D60" s="72">
        <v>99</v>
      </c>
      <c r="E60" s="73" t="s">
        <v>766</v>
      </c>
      <c r="F60" s="74" t="s">
        <v>829</v>
      </c>
      <c r="G60" s="72" t="s">
        <v>280</v>
      </c>
      <c r="H60" s="71" t="s">
        <v>764</v>
      </c>
    </row>
    <row r="61" spans="1:8" ht="27.75" customHeight="1" x14ac:dyDescent="0.3">
      <c r="A61" s="66" t="s">
        <v>822</v>
      </c>
      <c r="B61" s="66" t="s">
        <v>137</v>
      </c>
      <c r="C61" s="66">
        <v>0</v>
      </c>
      <c r="D61" s="66">
        <v>33</v>
      </c>
      <c r="E61" s="67" t="s">
        <v>760</v>
      </c>
      <c r="F61" s="68" t="s">
        <v>829</v>
      </c>
      <c r="G61" s="66" t="s">
        <v>272</v>
      </c>
      <c r="H61" s="69" t="s">
        <v>761</v>
      </c>
    </row>
    <row r="62" spans="1:8" ht="27.75" customHeight="1" x14ac:dyDescent="0.3">
      <c r="A62" s="36" t="s">
        <v>823</v>
      </c>
      <c r="B62" s="36" t="s">
        <v>137</v>
      </c>
      <c r="C62" s="36">
        <v>34</v>
      </c>
      <c r="D62" s="36">
        <v>66</v>
      </c>
      <c r="E62" s="70" t="s">
        <v>763</v>
      </c>
      <c r="F62" s="23" t="s">
        <v>829</v>
      </c>
      <c r="G62" s="36" t="s">
        <v>280</v>
      </c>
      <c r="H62" s="71" t="s">
        <v>764</v>
      </c>
    </row>
    <row r="63" spans="1:8" ht="27.75" customHeight="1" x14ac:dyDescent="0.3">
      <c r="A63" s="72" t="s">
        <v>824</v>
      </c>
      <c r="B63" s="72" t="s">
        <v>137</v>
      </c>
      <c r="C63" s="72">
        <v>67</v>
      </c>
      <c r="D63" s="72">
        <v>99</v>
      </c>
      <c r="E63" s="73" t="s">
        <v>766</v>
      </c>
      <c r="F63" s="74" t="s">
        <v>829</v>
      </c>
      <c r="G63" s="72" t="s">
        <v>280</v>
      </c>
      <c r="H63" s="75" t="s">
        <v>773</v>
      </c>
    </row>
    <row r="64" spans="1:8" ht="27.75" customHeight="1" x14ac:dyDescent="0.3">
      <c r="A64" s="66" t="s">
        <v>825</v>
      </c>
      <c r="B64" s="66" t="s">
        <v>139</v>
      </c>
      <c r="C64" s="66">
        <v>0</v>
      </c>
      <c r="D64" s="66">
        <v>33</v>
      </c>
      <c r="E64" s="67" t="s">
        <v>760</v>
      </c>
      <c r="F64" s="68" t="s">
        <v>829</v>
      </c>
      <c r="G64" s="66" t="s">
        <v>272</v>
      </c>
      <c r="H64" s="69" t="s">
        <v>761</v>
      </c>
    </row>
    <row r="65" spans="1:8" ht="27.75" customHeight="1" x14ac:dyDescent="0.3">
      <c r="A65" s="36" t="s">
        <v>826</v>
      </c>
      <c r="B65" s="36" t="s">
        <v>139</v>
      </c>
      <c r="C65" s="36">
        <v>34</v>
      </c>
      <c r="D65" s="36">
        <v>66</v>
      </c>
      <c r="E65" s="70" t="s">
        <v>763</v>
      </c>
      <c r="F65" s="23" t="s">
        <v>829</v>
      </c>
      <c r="G65" s="36" t="s">
        <v>280</v>
      </c>
      <c r="H65" s="71" t="s">
        <v>764</v>
      </c>
    </row>
    <row r="66" spans="1:8" ht="27.75" customHeight="1" x14ac:dyDescent="0.3">
      <c r="A66" s="72" t="s">
        <v>827</v>
      </c>
      <c r="B66" s="72" t="s">
        <v>139</v>
      </c>
      <c r="C66" s="72">
        <v>67</v>
      </c>
      <c r="D66" s="72">
        <v>99</v>
      </c>
      <c r="E66" s="73" t="s">
        <v>766</v>
      </c>
      <c r="F66" s="74" t="s">
        <v>829</v>
      </c>
      <c r="G66" s="72" t="s">
        <v>280</v>
      </c>
      <c r="H66" s="75" t="s">
        <v>773</v>
      </c>
    </row>
    <row r="67" spans="1:8" ht="27.75" customHeight="1" x14ac:dyDescent="0.3">
      <c r="A67" s="66" t="s">
        <v>828</v>
      </c>
      <c r="B67" s="66" t="s">
        <v>141</v>
      </c>
      <c r="C67" s="66">
        <v>0</v>
      </c>
      <c r="D67" s="66">
        <v>33</v>
      </c>
      <c r="E67" s="67" t="s">
        <v>760</v>
      </c>
      <c r="F67" s="68" t="s">
        <v>829</v>
      </c>
      <c r="G67" s="66" t="s">
        <v>272</v>
      </c>
      <c r="H67" s="69" t="s">
        <v>761</v>
      </c>
    </row>
    <row r="68" spans="1:8" ht="27.75" customHeight="1" x14ac:dyDescent="0.3">
      <c r="A68" s="36" t="s">
        <v>830</v>
      </c>
      <c r="B68" s="36" t="s">
        <v>141</v>
      </c>
      <c r="C68" s="36">
        <v>34</v>
      </c>
      <c r="D68" s="36">
        <v>66</v>
      </c>
      <c r="E68" s="70" t="s">
        <v>763</v>
      </c>
      <c r="F68" s="23" t="s">
        <v>829</v>
      </c>
      <c r="G68" s="36" t="s">
        <v>280</v>
      </c>
      <c r="H68" s="69" t="s">
        <v>761</v>
      </c>
    </row>
    <row r="69" spans="1:8" ht="27.75" customHeight="1" x14ac:dyDescent="0.3">
      <c r="A69" s="72" t="s">
        <v>831</v>
      </c>
      <c r="B69" s="72" t="s">
        <v>141</v>
      </c>
      <c r="C69" s="72">
        <v>67</v>
      </c>
      <c r="D69" s="72">
        <v>99</v>
      </c>
      <c r="E69" s="73" t="s">
        <v>766</v>
      </c>
      <c r="F69" s="74" t="s">
        <v>829</v>
      </c>
      <c r="G69" s="72" t="s">
        <v>272</v>
      </c>
      <c r="H69" s="69" t="s">
        <v>761</v>
      </c>
    </row>
    <row r="70" spans="1:8" ht="27.75" customHeight="1" x14ac:dyDescent="0.3">
      <c r="A70" s="66" t="s">
        <v>832</v>
      </c>
      <c r="B70" s="66" t="s">
        <v>143</v>
      </c>
      <c r="C70" s="66">
        <v>0</v>
      </c>
      <c r="D70" s="66">
        <v>33</v>
      </c>
      <c r="E70" s="67" t="s">
        <v>760</v>
      </c>
      <c r="F70" s="68" t="s">
        <v>829</v>
      </c>
      <c r="G70" s="66" t="s">
        <v>272</v>
      </c>
      <c r="H70" s="75" t="s">
        <v>773</v>
      </c>
    </row>
    <row r="71" spans="1:8" ht="27.75" customHeight="1" x14ac:dyDescent="0.3">
      <c r="A71" s="36" t="s">
        <v>833</v>
      </c>
      <c r="B71" s="36" t="s">
        <v>143</v>
      </c>
      <c r="C71" s="36">
        <v>34</v>
      </c>
      <c r="D71" s="36">
        <v>66</v>
      </c>
      <c r="E71" s="70" t="s">
        <v>763</v>
      </c>
      <c r="F71" s="23" t="s">
        <v>829</v>
      </c>
      <c r="G71" s="36" t="s">
        <v>272</v>
      </c>
      <c r="H71" s="75" t="s">
        <v>773</v>
      </c>
    </row>
    <row r="72" spans="1:8" ht="27.75" customHeight="1" x14ac:dyDescent="0.3">
      <c r="A72" s="72" t="s">
        <v>834</v>
      </c>
      <c r="B72" s="72" t="s">
        <v>143</v>
      </c>
      <c r="C72" s="72">
        <v>67</v>
      </c>
      <c r="D72" s="72">
        <v>99</v>
      </c>
      <c r="E72" s="73" t="s">
        <v>766</v>
      </c>
      <c r="F72" s="74" t="s">
        <v>829</v>
      </c>
      <c r="G72" s="72" t="s">
        <v>280</v>
      </c>
      <c r="H72" s="69" t="s">
        <v>761</v>
      </c>
    </row>
    <row r="73" spans="1:8" ht="27.75" customHeight="1" x14ac:dyDescent="0.3">
      <c r="A73" s="66" t="s">
        <v>835</v>
      </c>
      <c r="B73" s="66" t="s">
        <v>145</v>
      </c>
      <c r="C73" s="66">
        <v>0</v>
      </c>
      <c r="D73" s="66">
        <v>33</v>
      </c>
      <c r="E73" s="67" t="s">
        <v>760</v>
      </c>
      <c r="F73" s="68" t="s">
        <v>829</v>
      </c>
      <c r="G73" s="66" t="s">
        <v>272</v>
      </c>
      <c r="H73" s="69" t="s">
        <v>761</v>
      </c>
    </row>
    <row r="74" spans="1:8" ht="27.75" customHeight="1" x14ac:dyDescent="0.3">
      <c r="A74" s="36" t="s">
        <v>836</v>
      </c>
      <c r="B74" s="36" t="s">
        <v>145</v>
      </c>
      <c r="C74" s="36">
        <v>34</v>
      </c>
      <c r="D74" s="36">
        <v>66</v>
      </c>
      <c r="E74" s="70" t="s">
        <v>763</v>
      </c>
      <c r="F74" s="23" t="s">
        <v>829</v>
      </c>
      <c r="G74" s="36" t="s">
        <v>272</v>
      </c>
      <c r="H74" s="69" t="s">
        <v>761</v>
      </c>
    </row>
    <row r="75" spans="1:8" ht="27.75" customHeight="1" x14ac:dyDescent="0.3">
      <c r="A75" s="72" t="s">
        <v>837</v>
      </c>
      <c r="B75" s="72" t="s">
        <v>145</v>
      </c>
      <c r="C75" s="72">
        <v>67</v>
      </c>
      <c r="D75" s="72">
        <v>99</v>
      </c>
      <c r="E75" s="73" t="s">
        <v>766</v>
      </c>
      <c r="F75" s="74" t="s">
        <v>829</v>
      </c>
      <c r="G75" s="72" t="s">
        <v>272</v>
      </c>
      <c r="H75" s="75" t="s">
        <v>773</v>
      </c>
    </row>
    <row r="76" spans="1:8" ht="27.75" customHeight="1" x14ac:dyDescent="0.3">
      <c r="A76" s="66" t="s">
        <v>838</v>
      </c>
      <c r="B76" s="66" t="s">
        <v>147</v>
      </c>
      <c r="C76" s="66">
        <v>0</v>
      </c>
      <c r="D76" s="66">
        <v>33</v>
      </c>
      <c r="E76" s="67" t="s">
        <v>760</v>
      </c>
      <c r="F76" s="68" t="s">
        <v>829</v>
      </c>
      <c r="G76" s="66" t="s">
        <v>272</v>
      </c>
      <c r="H76" s="75" t="s">
        <v>773</v>
      </c>
    </row>
    <row r="77" spans="1:8" ht="27.75" customHeight="1" x14ac:dyDescent="0.3">
      <c r="A77" s="36" t="s">
        <v>839</v>
      </c>
      <c r="B77" s="36" t="s">
        <v>147</v>
      </c>
      <c r="C77" s="36">
        <v>34</v>
      </c>
      <c r="D77" s="36">
        <v>66</v>
      </c>
      <c r="E77" s="70" t="s">
        <v>763</v>
      </c>
      <c r="F77" s="23" t="s">
        <v>829</v>
      </c>
      <c r="G77" s="36" t="s">
        <v>280</v>
      </c>
      <c r="H77" s="69" t="s">
        <v>761</v>
      </c>
    </row>
    <row r="78" spans="1:8" ht="27.75" customHeight="1" x14ac:dyDescent="0.3">
      <c r="A78" s="72" t="s">
        <v>840</v>
      </c>
      <c r="B78" s="72" t="s">
        <v>147</v>
      </c>
      <c r="C78" s="72">
        <v>67</v>
      </c>
      <c r="D78" s="72">
        <v>99</v>
      </c>
      <c r="E78" s="73" t="s">
        <v>766</v>
      </c>
      <c r="F78" s="74" t="s">
        <v>829</v>
      </c>
      <c r="G78" s="72" t="s">
        <v>280</v>
      </c>
      <c r="H78" s="75" t="s">
        <v>773</v>
      </c>
    </row>
    <row r="79" spans="1:8" ht="27.75" customHeight="1" x14ac:dyDescent="0.3">
      <c r="A79" s="66" t="s">
        <v>841</v>
      </c>
      <c r="B79" s="66" t="s">
        <v>149</v>
      </c>
      <c r="C79" s="66">
        <v>0</v>
      </c>
      <c r="D79" s="66">
        <v>33</v>
      </c>
      <c r="E79" s="67" t="s">
        <v>760</v>
      </c>
      <c r="F79" s="68" t="s">
        <v>829</v>
      </c>
      <c r="G79" s="66" t="s">
        <v>280</v>
      </c>
      <c r="H79" s="69" t="s">
        <v>761</v>
      </c>
    </row>
    <row r="80" spans="1:8" ht="27.75" customHeight="1" x14ac:dyDescent="0.3">
      <c r="A80" s="36" t="s">
        <v>842</v>
      </c>
      <c r="B80" s="36" t="s">
        <v>149</v>
      </c>
      <c r="C80" s="36">
        <v>34</v>
      </c>
      <c r="D80" s="36">
        <v>66</v>
      </c>
      <c r="E80" s="70" t="s">
        <v>763</v>
      </c>
      <c r="F80" s="23" t="s">
        <v>829</v>
      </c>
      <c r="G80" s="36" t="s">
        <v>272</v>
      </c>
      <c r="H80" s="75" t="s">
        <v>773</v>
      </c>
    </row>
    <row r="81" spans="1:8" ht="27.75" customHeight="1" x14ac:dyDescent="0.3">
      <c r="A81" s="72" t="s">
        <v>843</v>
      </c>
      <c r="B81" s="72" t="s">
        <v>149</v>
      </c>
      <c r="C81" s="72">
        <v>67</v>
      </c>
      <c r="D81" s="72">
        <v>99</v>
      </c>
      <c r="E81" s="73" t="s">
        <v>766</v>
      </c>
      <c r="F81" s="74" t="s">
        <v>829</v>
      </c>
      <c r="G81" s="72" t="s">
        <v>280</v>
      </c>
      <c r="H81" s="71" t="s">
        <v>764</v>
      </c>
    </row>
    <row r="82" spans="1:8" ht="27.75" customHeight="1" x14ac:dyDescent="0.3">
      <c r="A82" s="66" t="s">
        <v>844</v>
      </c>
      <c r="B82" s="66" t="s">
        <v>151</v>
      </c>
      <c r="C82" s="66">
        <v>0</v>
      </c>
      <c r="D82" s="66">
        <v>33</v>
      </c>
      <c r="E82" s="67" t="s">
        <v>760</v>
      </c>
      <c r="F82" s="68" t="s">
        <v>829</v>
      </c>
      <c r="G82" s="66" t="s">
        <v>280</v>
      </c>
      <c r="H82" s="69" t="s">
        <v>761</v>
      </c>
    </row>
    <row r="83" spans="1:8" ht="27.75" customHeight="1" x14ac:dyDescent="0.3">
      <c r="A83" s="36" t="s">
        <v>845</v>
      </c>
      <c r="B83" s="36" t="s">
        <v>151</v>
      </c>
      <c r="C83" s="36">
        <v>34</v>
      </c>
      <c r="D83" s="36">
        <v>66</v>
      </c>
      <c r="E83" s="70" t="s">
        <v>763</v>
      </c>
      <c r="F83" s="23" t="s">
        <v>829</v>
      </c>
      <c r="G83" s="36" t="s">
        <v>272</v>
      </c>
      <c r="H83" s="71" t="s">
        <v>764</v>
      </c>
    </row>
    <row r="84" spans="1:8" ht="27.75" customHeight="1" x14ac:dyDescent="0.3">
      <c r="A84" s="72" t="s">
        <v>846</v>
      </c>
      <c r="B84" s="72" t="s">
        <v>151</v>
      </c>
      <c r="C84" s="72">
        <v>67</v>
      </c>
      <c r="D84" s="72">
        <v>99</v>
      </c>
      <c r="E84" s="73" t="s">
        <v>766</v>
      </c>
      <c r="F84" s="74" t="s">
        <v>829</v>
      </c>
      <c r="G84" s="72" t="s">
        <v>272</v>
      </c>
      <c r="H84" s="69" t="s">
        <v>761</v>
      </c>
    </row>
    <row r="85" spans="1:8" ht="27.75" customHeight="1" x14ac:dyDescent="0.3">
      <c r="A85" s="66" t="s">
        <v>847</v>
      </c>
      <c r="B85" s="66" t="s">
        <v>152</v>
      </c>
      <c r="C85" s="66">
        <v>0</v>
      </c>
      <c r="D85" s="66">
        <v>33</v>
      </c>
      <c r="E85" s="67" t="s">
        <v>760</v>
      </c>
      <c r="F85" s="68" t="s">
        <v>829</v>
      </c>
      <c r="G85" s="66" t="s">
        <v>280</v>
      </c>
      <c r="H85" s="69" t="s">
        <v>761</v>
      </c>
    </row>
    <row r="86" spans="1:8" ht="27.75" customHeight="1" x14ac:dyDescent="0.3">
      <c r="A86" s="36" t="s">
        <v>848</v>
      </c>
      <c r="B86" s="36" t="s">
        <v>152</v>
      </c>
      <c r="C86" s="36">
        <v>34</v>
      </c>
      <c r="D86" s="36">
        <v>66</v>
      </c>
      <c r="E86" s="70" t="s">
        <v>763</v>
      </c>
      <c r="F86" s="23" t="s">
        <v>829</v>
      </c>
      <c r="G86" s="36" t="s">
        <v>280</v>
      </c>
      <c r="H86" s="71" t="s">
        <v>764</v>
      </c>
    </row>
    <row r="87" spans="1:8" ht="27.75" customHeight="1" x14ac:dyDescent="0.3">
      <c r="A87" s="72" t="s">
        <v>849</v>
      </c>
      <c r="B87" s="72" t="s">
        <v>152</v>
      </c>
      <c r="C87" s="72">
        <v>67</v>
      </c>
      <c r="D87" s="72">
        <v>99</v>
      </c>
      <c r="E87" s="73" t="s">
        <v>766</v>
      </c>
      <c r="F87" s="74" t="s">
        <v>829</v>
      </c>
      <c r="G87" s="72" t="s">
        <v>280</v>
      </c>
      <c r="H87" s="69" t="s">
        <v>761</v>
      </c>
    </row>
    <row r="88" spans="1:8" ht="27.75" customHeight="1" x14ac:dyDescent="0.3">
      <c r="A88" s="66" t="s">
        <v>850</v>
      </c>
      <c r="B88" s="66" t="s">
        <v>154</v>
      </c>
      <c r="C88" s="66">
        <v>0</v>
      </c>
      <c r="D88" s="66">
        <v>33</v>
      </c>
      <c r="E88" s="67" t="s">
        <v>760</v>
      </c>
      <c r="F88" s="68" t="s">
        <v>829</v>
      </c>
      <c r="G88" s="66" t="s">
        <v>280</v>
      </c>
      <c r="H88" s="75" t="s">
        <v>773</v>
      </c>
    </row>
    <row r="89" spans="1:8" ht="27.75" customHeight="1" x14ac:dyDescent="0.3">
      <c r="A89" s="36" t="s">
        <v>851</v>
      </c>
      <c r="B89" s="36" t="s">
        <v>154</v>
      </c>
      <c r="C89" s="36">
        <v>34</v>
      </c>
      <c r="D89" s="36">
        <v>66</v>
      </c>
      <c r="E89" s="70" t="s">
        <v>763</v>
      </c>
      <c r="F89" s="23" t="s">
        <v>829</v>
      </c>
      <c r="G89" s="36" t="s">
        <v>272</v>
      </c>
      <c r="H89" s="71" t="s">
        <v>764</v>
      </c>
    </row>
    <row r="90" spans="1:8" ht="27.75" customHeight="1" x14ac:dyDescent="0.3">
      <c r="A90" s="72" t="s">
        <v>852</v>
      </c>
      <c r="B90" s="72" t="s">
        <v>154</v>
      </c>
      <c r="C90" s="72">
        <v>67</v>
      </c>
      <c r="D90" s="72">
        <v>99</v>
      </c>
      <c r="E90" s="73" t="s">
        <v>766</v>
      </c>
      <c r="F90" s="74" t="s">
        <v>829</v>
      </c>
      <c r="G90" s="72" t="s">
        <v>272</v>
      </c>
      <c r="H90" s="75" t="s">
        <v>773</v>
      </c>
    </row>
    <row r="91" spans="1:8" ht="27.75" customHeight="1" x14ac:dyDescent="0.3">
      <c r="A91" s="66" t="s">
        <v>853</v>
      </c>
      <c r="B91" s="66" t="s">
        <v>156</v>
      </c>
      <c r="C91" s="66">
        <v>0</v>
      </c>
      <c r="D91" s="66">
        <v>33</v>
      </c>
      <c r="E91" s="67" t="s">
        <v>760</v>
      </c>
      <c r="F91" s="68" t="s">
        <v>829</v>
      </c>
      <c r="G91" s="66" t="s">
        <v>280</v>
      </c>
      <c r="H91" s="75" t="s">
        <v>773</v>
      </c>
    </row>
    <row r="92" spans="1:8" ht="27.75" customHeight="1" x14ac:dyDescent="0.3">
      <c r="A92" s="36" t="s">
        <v>854</v>
      </c>
      <c r="B92" s="36" t="s">
        <v>156</v>
      </c>
      <c r="C92" s="36">
        <v>34</v>
      </c>
      <c r="D92" s="36">
        <v>66</v>
      </c>
      <c r="E92" s="70" t="s">
        <v>763</v>
      </c>
      <c r="F92" s="23" t="s">
        <v>829</v>
      </c>
      <c r="G92" s="36" t="s">
        <v>280</v>
      </c>
      <c r="H92" s="75" t="s">
        <v>773</v>
      </c>
    </row>
    <row r="93" spans="1:8" ht="27.75" customHeight="1" x14ac:dyDescent="0.3">
      <c r="A93" s="72" t="s">
        <v>855</v>
      </c>
      <c r="B93" s="72" t="s">
        <v>156</v>
      </c>
      <c r="C93" s="72">
        <v>67</v>
      </c>
      <c r="D93" s="72">
        <v>99</v>
      </c>
      <c r="E93" s="73" t="s">
        <v>766</v>
      </c>
      <c r="F93" s="74" t="s">
        <v>829</v>
      </c>
      <c r="G93" s="72" t="s">
        <v>272</v>
      </c>
      <c r="H93" s="75" t="s">
        <v>773</v>
      </c>
    </row>
    <row r="94" spans="1:8" ht="27.75" customHeight="1" x14ac:dyDescent="0.3">
      <c r="A94" s="66" t="s">
        <v>856</v>
      </c>
      <c r="B94" s="66" t="s">
        <v>158</v>
      </c>
      <c r="C94" s="66">
        <v>0</v>
      </c>
      <c r="D94" s="66">
        <v>33</v>
      </c>
      <c r="E94" s="67" t="s">
        <v>760</v>
      </c>
      <c r="F94" s="68" t="s">
        <v>829</v>
      </c>
      <c r="G94" s="66" t="s">
        <v>272</v>
      </c>
      <c r="H94" s="69" t="s">
        <v>761</v>
      </c>
    </row>
    <row r="95" spans="1:8" ht="27.75" customHeight="1" x14ac:dyDescent="0.3">
      <c r="A95" s="36" t="s">
        <v>857</v>
      </c>
      <c r="B95" s="36" t="s">
        <v>158</v>
      </c>
      <c r="C95" s="36">
        <v>34</v>
      </c>
      <c r="D95" s="36">
        <v>66</v>
      </c>
      <c r="E95" s="70" t="s">
        <v>763</v>
      </c>
      <c r="F95" s="23" t="s">
        <v>829</v>
      </c>
      <c r="G95" s="36" t="s">
        <v>272</v>
      </c>
      <c r="H95" s="71" t="s">
        <v>764</v>
      </c>
    </row>
    <row r="96" spans="1:8" ht="27.75" customHeight="1" x14ac:dyDescent="0.3">
      <c r="A96" s="72" t="s">
        <v>858</v>
      </c>
      <c r="B96" s="72" t="s">
        <v>158</v>
      </c>
      <c r="C96" s="72">
        <v>67</v>
      </c>
      <c r="D96" s="72">
        <v>99</v>
      </c>
      <c r="E96" s="73" t="s">
        <v>766</v>
      </c>
      <c r="F96" s="74" t="s">
        <v>829</v>
      </c>
      <c r="G96" s="72" t="s">
        <v>272</v>
      </c>
      <c r="H96" s="69" t="s">
        <v>761</v>
      </c>
    </row>
    <row r="97" spans="1:8" ht="27.75" customHeight="1" x14ac:dyDescent="0.3">
      <c r="A97" s="66" t="s">
        <v>859</v>
      </c>
      <c r="B97" s="66" t="s">
        <v>160</v>
      </c>
      <c r="C97" s="66">
        <v>0</v>
      </c>
      <c r="D97" s="66">
        <v>33</v>
      </c>
      <c r="E97" s="67" t="s">
        <v>760</v>
      </c>
      <c r="F97" s="68" t="s">
        <v>829</v>
      </c>
      <c r="G97" s="66" t="s">
        <v>272</v>
      </c>
      <c r="H97" s="71" t="s">
        <v>764</v>
      </c>
    </row>
    <row r="98" spans="1:8" ht="27.75" customHeight="1" x14ac:dyDescent="0.3">
      <c r="A98" s="36" t="s">
        <v>860</v>
      </c>
      <c r="B98" s="36" t="s">
        <v>160</v>
      </c>
      <c r="C98" s="36">
        <v>34</v>
      </c>
      <c r="D98" s="36">
        <v>66</v>
      </c>
      <c r="E98" s="70" t="s">
        <v>763</v>
      </c>
      <c r="F98" s="23" t="s">
        <v>829</v>
      </c>
      <c r="G98" s="36" t="s">
        <v>280</v>
      </c>
      <c r="H98" s="71" t="s">
        <v>764</v>
      </c>
    </row>
    <row r="99" spans="1:8" ht="27.75" customHeight="1" x14ac:dyDescent="0.3">
      <c r="A99" s="72" t="s">
        <v>861</v>
      </c>
      <c r="B99" s="72" t="s">
        <v>160</v>
      </c>
      <c r="C99" s="72">
        <v>67</v>
      </c>
      <c r="D99" s="72">
        <v>99</v>
      </c>
      <c r="E99" s="73" t="s">
        <v>766</v>
      </c>
      <c r="F99" s="74" t="s">
        <v>829</v>
      </c>
      <c r="G99" s="72" t="s">
        <v>280</v>
      </c>
      <c r="H99" s="69" t="s">
        <v>761</v>
      </c>
    </row>
    <row r="100" spans="1:8" ht="27.75" customHeight="1" x14ac:dyDescent="0.3">
      <c r="A100" s="66" t="s">
        <v>862</v>
      </c>
      <c r="B100" s="66" t="s">
        <v>162</v>
      </c>
      <c r="C100" s="66">
        <v>0</v>
      </c>
      <c r="D100" s="66">
        <v>33</v>
      </c>
      <c r="E100" s="67" t="s">
        <v>760</v>
      </c>
      <c r="F100" s="68" t="s">
        <v>829</v>
      </c>
      <c r="G100" s="66" t="s">
        <v>280</v>
      </c>
      <c r="H100" s="71" t="s">
        <v>764</v>
      </c>
    </row>
    <row r="101" spans="1:8" ht="27.75" customHeight="1" x14ac:dyDescent="0.3">
      <c r="A101" s="36" t="s">
        <v>863</v>
      </c>
      <c r="B101" s="36" t="s">
        <v>162</v>
      </c>
      <c r="C101" s="36">
        <v>34</v>
      </c>
      <c r="D101" s="36">
        <v>66</v>
      </c>
      <c r="E101" s="70" t="s">
        <v>763</v>
      </c>
      <c r="F101" s="23" t="s">
        <v>829</v>
      </c>
      <c r="G101" s="36" t="s">
        <v>272</v>
      </c>
      <c r="H101" s="75" t="s">
        <v>773</v>
      </c>
    </row>
    <row r="102" spans="1:8" ht="27.75" customHeight="1" x14ac:dyDescent="0.3">
      <c r="A102" s="72" t="s">
        <v>864</v>
      </c>
      <c r="B102" s="72" t="s">
        <v>162</v>
      </c>
      <c r="C102" s="72">
        <v>67</v>
      </c>
      <c r="D102" s="72">
        <v>99</v>
      </c>
      <c r="E102" s="73" t="s">
        <v>766</v>
      </c>
      <c r="F102" s="74" t="s">
        <v>829</v>
      </c>
      <c r="G102" s="72" t="s">
        <v>280</v>
      </c>
      <c r="H102" s="75" t="s">
        <v>773</v>
      </c>
    </row>
    <row r="103" spans="1:8" ht="27.75" customHeight="1" x14ac:dyDescent="0.3">
      <c r="A103" s="66" t="s">
        <v>865</v>
      </c>
      <c r="B103" s="66" t="s">
        <v>164</v>
      </c>
      <c r="C103" s="66">
        <v>0</v>
      </c>
      <c r="D103" s="66">
        <v>33</v>
      </c>
      <c r="E103" s="67" t="s">
        <v>760</v>
      </c>
      <c r="F103" s="68" t="s">
        <v>829</v>
      </c>
      <c r="G103" s="66" t="s">
        <v>272</v>
      </c>
      <c r="H103" s="75" t="s">
        <v>773</v>
      </c>
    </row>
    <row r="104" spans="1:8" ht="27.75" customHeight="1" x14ac:dyDescent="0.3">
      <c r="A104" s="36" t="s">
        <v>866</v>
      </c>
      <c r="B104" s="36" t="s">
        <v>164</v>
      </c>
      <c r="C104" s="36">
        <v>34</v>
      </c>
      <c r="D104" s="36">
        <v>66</v>
      </c>
      <c r="E104" s="70" t="s">
        <v>763</v>
      </c>
      <c r="F104" s="23" t="s">
        <v>829</v>
      </c>
      <c r="G104" s="36" t="s">
        <v>272</v>
      </c>
      <c r="H104" s="75" t="s">
        <v>773</v>
      </c>
    </row>
    <row r="105" spans="1:8" ht="27.75" customHeight="1" x14ac:dyDescent="0.3">
      <c r="A105" s="72" t="s">
        <v>867</v>
      </c>
      <c r="B105" s="72" t="s">
        <v>164</v>
      </c>
      <c r="C105" s="72">
        <v>67</v>
      </c>
      <c r="D105" s="72">
        <v>99</v>
      </c>
      <c r="E105" s="73" t="s">
        <v>766</v>
      </c>
      <c r="F105" s="74" t="s">
        <v>829</v>
      </c>
      <c r="G105" s="72" t="s">
        <v>272</v>
      </c>
      <c r="H105" s="69" t="s">
        <v>761</v>
      </c>
    </row>
    <row r="106" spans="1:8" ht="27.75" customHeight="1" x14ac:dyDescent="0.3">
      <c r="A106" s="66" t="s">
        <v>868</v>
      </c>
      <c r="B106" s="66" t="s">
        <v>166</v>
      </c>
      <c r="C106" s="66">
        <v>0</v>
      </c>
      <c r="D106" s="66">
        <v>33</v>
      </c>
      <c r="E106" s="67" t="s">
        <v>760</v>
      </c>
      <c r="F106" s="68" t="s">
        <v>829</v>
      </c>
      <c r="G106" s="66" t="s">
        <v>280</v>
      </c>
      <c r="H106" s="71" t="s">
        <v>764</v>
      </c>
    </row>
    <row r="107" spans="1:8" ht="27.75" customHeight="1" x14ac:dyDescent="0.3">
      <c r="A107" s="36" t="s">
        <v>869</v>
      </c>
      <c r="B107" s="36" t="s">
        <v>166</v>
      </c>
      <c r="C107" s="36">
        <v>34</v>
      </c>
      <c r="D107" s="36">
        <v>66</v>
      </c>
      <c r="E107" s="70" t="s">
        <v>763</v>
      </c>
      <c r="F107" s="23" t="s">
        <v>829</v>
      </c>
      <c r="G107" s="36" t="s">
        <v>280</v>
      </c>
      <c r="H107" s="75" t="s">
        <v>773</v>
      </c>
    </row>
    <row r="108" spans="1:8" ht="27.75" customHeight="1" x14ac:dyDescent="0.3">
      <c r="A108" s="72" t="s">
        <v>870</v>
      </c>
      <c r="B108" s="72" t="s">
        <v>166</v>
      </c>
      <c r="C108" s="72">
        <v>67</v>
      </c>
      <c r="D108" s="72">
        <v>99</v>
      </c>
      <c r="E108" s="73" t="s">
        <v>766</v>
      </c>
      <c r="F108" s="74" t="s">
        <v>829</v>
      </c>
      <c r="G108" s="72" t="s">
        <v>272</v>
      </c>
      <c r="H108" s="75" t="s">
        <v>773</v>
      </c>
    </row>
    <row r="109" spans="1:8" ht="27.75" customHeight="1" x14ac:dyDescent="0.3">
      <c r="A109" s="66" t="s">
        <v>871</v>
      </c>
      <c r="B109" s="66" t="s">
        <v>168</v>
      </c>
      <c r="C109" s="66">
        <v>0</v>
      </c>
      <c r="D109" s="66">
        <v>33</v>
      </c>
      <c r="E109" s="67" t="s">
        <v>760</v>
      </c>
      <c r="F109" s="68" t="s">
        <v>829</v>
      </c>
      <c r="G109" s="66" t="s">
        <v>280</v>
      </c>
      <c r="H109" s="69" t="s">
        <v>761</v>
      </c>
    </row>
    <row r="110" spans="1:8" ht="27.75" customHeight="1" x14ac:dyDescent="0.3">
      <c r="A110" s="36" t="s">
        <v>872</v>
      </c>
      <c r="B110" s="36" t="s">
        <v>168</v>
      </c>
      <c r="C110" s="36">
        <v>34</v>
      </c>
      <c r="D110" s="36">
        <v>66</v>
      </c>
      <c r="E110" s="70" t="s">
        <v>763</v>
      </c>
      <c r="F110" s="23" t="s">
        <v>829</v>
      </c>
      <c r="G110" s="36" t="s">
        <v>272</v>
      </c>
      <c r="H110" s="69" t="s">
        <v>761</v>
      </c>
    </row>
    <row r="111" spans="1:8" ht="27.75" customHeight="1" x14ac:dyDescent="0.3">
      <c r="A111" s="72" t="s">
        <v>873</v>
      </c>
      <c r="B111" s="72" t="s">
        <v>168</v>
      </c>
      <c r="C111" s="72">
        <v>67</v>
      </c>
      <c r="D111" s="72">
        <v>99</v>
      </c>
      <c r="E111" s="73" t="s">
        <v>766</v>
      </c>
      <c r="F111" s="74" t="s">
        <v>829</v>
      </c>
      <c r="G111" s="72" t="s">
        <v>280</v>
      </c>
      <c r="H111" s="71" t="s">
        <v>764</v>
      </c>
    </row>
    <row r="112" spans="1:8" ht="27.75" customHeight="1" x14ac:dyDescent="0.3">
      <c r="A112" s="66" t="s">
        <v>874</v>
      </c>
      <c r="B112" s="66" t="s">
        <v>170</v>
      </c>
      <c r="C112" s="66">
        <v>0</v>
      </c>
      <c r="D112" s="66">
        <v>33</v>
      </c>
      <c r="E112" s="67" t="s">
        <v>760</v>
      </c>
      <c r="F112" s="68" t="s">
        <v>829</v>
      </c>
      <c r="G112" s="66" t="s">
        <v>280</v>
      </c>
      <c r="H112" s="69" t="s">
        <v>761</v>
      </c>
    </row>
    <row r="113" spans="1:8" ht="27.75" customHeight="1" x14ac:dyDescent="0.3">
      <c r="A113" s="36" t="s">
        <v>875</v>
      </c>
      <c r="B113" s="36" t="s">
        <v>170</v>
      </c>
      <c r="C113" s="36">
        <v>34</v>
      </c>
      <c r="D113" s="36">
        <v>66</v>
      </c>
      <c r="E113" s="70" t="s">
        <v>763</v>
      </c>
      <c r="F113" s="23" t="s">
        <v>829</v>
      </c>
      <c r="G113" s="36" t="s">
        <v>272</v>
      </c>
      <c r="H113" s="75" t="s">
        <v>773</v>
      </c>
    </row>
    <row r="114" spans="1:8" ht="27.75" customHeight="1" x14ac:dyDescent="0.3">
      <c r="A114" s="72" t="s">
        <v>876</v>
      </c>
      <c r="B114" s="72" t="s">
        <v>170</v>
      </c>
      <c r="C114" s="72">
        <v>67</v>
      </c>
      <c r="D114" s="72">
        <v>99</v>
      </c>
      <c r="E114" s="73" t="s">
        <v>766</v>
      </c>
      <c r="F114" s="74" t="s">
        <v>829</v>
      </c>
      <c r="G114" s="72" t="s">
        <v>280</v>
      </c>
      <c r="H114" s="69" t="s">
        <v>761</v>
      </c>
    </row>
    <row r="115" spans="1:8" ht="27.75" customHeight="1" x14ac:dyDescent="0.3">
      <c r="A115" s="66" t="s">
        <v>877</v>
      </c>
      <c r="B115" s="66" t="s">
        <v>172</v>
      </c>
      <c r="C115" s="66">
        <v>0</v>
      </c>
      <c r="D115" s="66">
        <v>33</v>
      </c>
      <c r="E115" s="67" t="s">
        <v>760</v>
      </c>
      <c r="F115" s="68" t="s">
        <v>829</v>
      </c>
      <c r="G115" s="66" t="s">
        <v>280</v>
      </c>
      <c r="H115" s="71" t="s">
        <v>764</v>
      </c>
    </row>
    <row r="116" spans="1:8" ht="27.75" customHeight="1" x14ac:dyDescent="0.3">
      <c r="A116" s="36" t="s">
        <v>878</v>
      </c>
      <c r="B116" s="36" t="s">
        <v>172</v>
      </c>
      <c r="C116" s="36">
        <v>34</v>
      </c>
      <c r="D116" s="36">
        <v>66</v>
      </c>
      <c r="E116" s="70" t="s">
        <v>763</v>
      </c>
      <c r="F116" s="23" t="s">
        <v>829</v>
      </c>
      <c r="G116" s="36" t="s">
        <v>280</v>
      </c>
      <c r="H116" s="69" t="s">
        <v>761</v>
      </c>
    </row>
    <row r="117" spans="1:8" ht="27.75" customHeight="1" x14ac:dyDescent="0.3">
      <c r="A117" s="72" t="s">
        <v>879</v>
      </c>
      <c r="B117" s="72" t="s">
        <v>172</v>
      </c>
      <c r="C117" s="72">
        <v>67</v>
      </c>
      <c r="D117" s="72">
        <v>99</v>
      </c>
      <c r="E117" s="73" t="s">
        <v>766</v>
      </c>
      <c r="F117" s="74" t="s">
        <v>829</v>
      </c>
      <c r="G117" s="72" t="s">
        <v>280</v>
      </c>
      <c r="H117" s="69" t="s">
        <v>761</v>
      </c>
    </row>
    <row r="118" spans="1:8" ht="27.75" customHeight="1" x14ac:dyDescent="0.3">
      <c r="A118" s="66" t="s">
        <v>880</v>
      </c>
      <c r="B118" s="66" t="s">
        <v>174</v>
      </c>
      <c r="C118" s="66">
        <v>0</v>
      </c>
      <c r="D118" s="66">
        <v>33</v>
      </c>
      <c r="E118" s="67" t="s">
        <v>760</v>
      </c>
      <c r="F118" s="68" t="s">
        <v>829</v>
      </c>
      <c r="G118" s="66" t="s">
        <v>272</v>
      </c>
      <c r="H118" s="75" t="s">
        <v>773</v>
      </c>
    </row>
    <row r="119" spans="1:8" ht="27.75" customHeight="1" x14ac:dyDescent="0.3">
      <c r="A119" s="36" t="s">
        <v>881</v>
      </c>
      <c r="B119" s="36" t="s">
        <v>174</v>
      </c>
      <c r="C119" s="36">
        <v>34</v>
      </c>
      <c r="D119" s="36">
        <v>66</v>
      </c>
      <c r="E119" s="70" t="s">
        <v>763</v>
      </c>
      <c r="F119" s="23" t="s">
        <v>829</v>
      </c>
      <c r="G119" s="36" t="s">
        <v>280</v>
      </c>
      <c r="H119" s="75" t="s">
        <v>773</v>
      </c>
    </row>
    <row r="120" spans="1:8" ht="27.75" customHeight="1" x14ac:dyDescent="0.3">
      <c r="A120" s="72" t="s">
        <v>882</v>
      </c>
      <c r="B120" s="72" t="s">
        <v>174</v>
      </c>
      <c r="C120" s="72">
        <v>67</v>
      </c>
      <c r="D120" s="72">
        <v>99</v>
      </c>
      <c r="E120" s="73" t="s">
        <v>766</v>
      </c>
      <c r="F120" s="74" t="s">
        <v>829</v>
      </c>
      <c r="G120" s="72" t="s">
        <v>280</v>
      </c>
      <c r="H120" s="75" t="s">
        <v>773</v>
      </c>
    </row>
    <row r="121" spans="1:8" ht="27.75" customHeight="1" x14ac:dyDescent="0.3">
      <c r="A121" s="66" t="s">
        <v>883</v>
      </c>
      <c r="B121" s="66" t="s">
        <v>176</v>
      </c>
      <c r="C121" s="66">
        <v>0</v>
      </c>
      <c r="D121" s="66">
        <v>33</v>
      </c>
      <c r="E121" s="67" t="s">
        <v>760</v>
      </c>
      <c r="F121" s="68" t="s">
        <v>829</v>
      </c>
      <c r="G121" s="66" t="s">
        <v>280</v>
      </c>
      <c r="H121" s="71" t="s">
        <v>764</v>
      </c>
    </row>
    <row r="122" spans="1:8" ht="27.75" customHeight="1" x14ac:dyDescent="0.3">
      <c r="A122" s="36" t="s">
        <v>884</v>
      </c>
      <c r="B122" s="36" t="s">
        <v>176</v>
      </c>
      <c r="C122" s="36">
        <v>34</v>
      </c>
      <c r="D122" s="36">
        <v>66</v>
      </c>
      <c r="E122" s="70" t="s">
        <v>763</v>
      </c>
      <c r="F122" s="23" t="s">
        <v>829</v>
      </c>
      <c r="G122" s="36" t="s">
        <v>272</v>
      </c>
      <c r="H122" s="69" t="s">
        <v>761</v>
      </c>
    </row>
    <row r="123" spans="1:8" ht="27.75" customHeight="1" x14ac:dyDescent="0.3">
      <c r="A123" s="72" t="s">
        <v>885</v>
      </c>
      <c r="B123" s="72" t="s">
        <v>176</v>
      </c>
      <c r="C123" s="72">
        <v>67</v>
      </c>
      <c r="D123" s="72">
        <v>99</v>
      </c>
      <c r="E123" s="73" t="s">
        <v>766</v>
      </c>
      <c r="F123" s="74" t="s">
        <v>829</v>
      </c>
      <c r="G123" s="72" t="s">
        <v>280</v>
      </c>
      <c r="H123" s="69" t="s">
        <v>761</v>
      </c>
    </row>
    <row r="124" spans="1:8" ht="27.75" customHeight="1" x14ac:dyDescent="0.3">
      <c r="A124" s="66" t="s">
        <v>886</v>
      </c>
      <c r="B124" s="66" t="s">
        <v>178</v>
      </c>
      <c r="C124" s="66">
        <v>0</v>
      </c>
      <c r="D124" s="66">
        <v>33</v>
      </c>
      <c r="E124" s="67" t="s">
        <v>760</v>
      </c>
      <c r="F124" s="68" t="s">
        <v>829</v>
      </c>
      <c r="G124" s="66" t="s">
        <v>272</v>
      </c>
      <c r="H124" s="69" t="s">
        <v>761</v>
      </c>
    </row>
    <row r="125" spans="1:8" ht="27.75" customHeight="1" x14ac:dyDescent="0.3">
      <c r="A125" s="36" t="s">
        <v>887</v>
      </c>
      <c r="B125" s="36" t="s">
        <v>178</v>
      </c>
      <c r="C125" s="36">
        <v>34</v>
      </c>
      <c r="D125" s="36">
        <v>66</v>
      </c>
      <c r="E125" s="70" t="s">
        <v>763</v>
      </c>
      <c r="F125" s="23" t="s">
        <v>829</v>
      </c>
      <c r="G125" s="36" t="s">
        <v>272</v>
      </c>
      <c r="H125" s="75" t="s">
        <v>773</v>
      </c>
    </row>
    <row r="126" spans="1:8" ht="27.75" customHeight="1" x14ac:dyDescent="0.3">
      <c r="A126" s="72" t="s">
        <v>888</v>
      </c>
      <c r="B126" s="72" t="s">
        <v>178</v>
      </c>
      <c r="C126" s="72">
        <v>67</v>
      </c>
      <c r="D126" s="72">
        <v>99</v>
      </c>
      <c r="E126" s="73" t="s">
        <v>766</v>
      </c>
      <c r="F126" s="74" t="s">
        <v>829</v>
      </c>
      <c r="G126" s="72" t="s">
        <v>272</v>
      </c>
      <c r="H126" s="75" t="s">
        <v>773</v>
      </c>
    </row>
    <row r="127" spans="1:8" ht="27.75" customHeight="1" x14ac:dyDescent="0.3">
      <c r="A127" s="66" t="s">
        <v>889</v>
      </c>
      <c r="B127" s="66" t="s">
        <v>180</v>
      </c>
      <c r="C127" s="66">
        <v>0</v>
      </c>
      <c r="D127" s="66">
        <v>33</v>
      </c>
      <c r="E127" s="67" t="s">
        <v>760</v>
      </c>
      <c r="F127" s="68" t="s">
        <v>829</v>
      </c>
      <c r="G127" s="66" t="s">
        <v>280</v>
      </c>
      <c r="H127" s="75" t="s">
        <v>773</v>
      </c>
    </row>
    <row r="128" spans="1:8" ht="27.75" customHeight="1" x14ac:dyDescent="0.3">
      <c r="A128" s="36" t="s">
        <v>890</v>
      </c>
      <c r="B128" s="36" t="s">
        <v>180</v>
      </c>
      <c r="C128" s="36">
        <v>34</v>
      </c>
      <c r="D128" s="36">
        <v>66</v>
      </c>
      <c r="E128" s="70" t="s">
        <v>763</v>
      </c>
      <c r="F128" s="23" t="s">
        <v>829</v>
      </c>
      <c r="G128" s="36" t="s">
        <v>272</v>
      </c>
      <c r="H128" s="71" t="s">
        <v>764</v>
      </c>
    </row>
    <row r="129" spans="1:8" ht="27.75" customHeight="1" x14ac:dyDescent="0.3">
      <c r="A129" s="72" t="s">
        <v>891</v>
      </c>
      <c r="B129" s="72" t="s">
        <v>180</v>
      </c>
      <c r="C129" s="72">
        <v>67</v>
      </c>
      <c r="D129" s="72">
        <v>99</v>
      </c>
      <c r="E129" s="73" t="s">
        <v>766</v>
      </c>
      <c r="F129" s="74" t="s">
        <v>829</v>
      </c>
      <c r="G129" s="72" t="s">
        <v>280</v>
      </c>
      <c r="H129" s="75" t="s">
        <v>773</v>
      </c>
    </row>
    <row r="130" spans="1:8" ht="27.75" customHeight="1" x14ac:dyDescent="0.3">
      <c r="A130" s="66" t="s">
        <v>892</v>
      </c>
      <c r="B130" s="66" t="s">
        <v>182</v>
      </c>
      <c r="C130" s="66">
        <v>0</v>
      </c>
      <c r="D130" s="66">
        <v>33</v>
      </c>
      <c r="E130" s="67" t="s">
        <v>760</v>
      </c>
      <c r="F130" s="68" t="s">
        <v>829</v>
      </c>
      <c r="G130" s="66" t="s">
        <v>280</v>
      </c>
      <c r="H130" s="75" t="s">
        <v>773</v>
      </c>
    </row>
    <row r="131" spans="1:8" ht="27.75" customHeight="1" x14ac:dyDescent="0.3">
      <c r="A131" s="36" t="s">
        <v>893</v>
      </c>
      <c r="B131" s="36" t="s">
        <v>182</v>
      </c>
      <c r="C131" s="36">
        <v>34</v>
      </c>
      <c r="D131" s="36">
        <v>66</v>
      </c>
      <c r="E131" s="70" t="s">
        <v>763</v>
      </c>
      <c r="F131" s="23" t="s">
        <v>829</v>
      </c>
      <c r="G131" s="36" t="s">
        <v>280</v>
      </c>
      <c r="H131" s="75" t="s">
        <v>773</v>
      </c>
    </row>
    <row r="132" spans="1:8" ht="27.75" customHeight="1" x14ac:dyDescent="0.3">
      <c r="A132" s="72" t="s">
        <v>894</v>
      </c>
      <c r="B132" s="72" t="s">
        <v>182</v>
      </c>
      <c r="C132" s="72">
        <v>67</v>
      </c>
      <c r="D132" s="72">
        <v>99</v>
      </c>
      <c r="E132" s="73" t="s">
        <v>766</v>
      </c>
      <c r="F132" s="74" t="s">
        <v>829</v>
      </c>
      <c r="G132" s="72" t="s">
        <v>272</v>
      </c>
      <c r="H132" s="75" t="s">
        <v>773</v>
      </c>
    </row>
    <row r="133" spans="1:8" ht="27.75" customHeight="1" x14ac:dyDescent="0.3">
      <c r="A133" s="66" t="s">
        <v>895</v>
      </c>
      <c r="B133" s="66" t="s">
        <v>184</v>
      </c>
      <c r="C133" s="66">
        <v>0</v>
      </c>
      <c r="D133" s="66">
        <v>33</v>
      </c>
      <c r="E133" s="67" t="s">
        <v>760</v>
      </c>
      <c r="F133" s="68" t="s">
        <v>829</v>
      </c>
      <c r="G133" s="66" t="s">
        <v>272</v>
      </c>
      <c r="H133" s="75" t="s">
        <v>773</v>
      </c>
    </row>
    <row r="134" spans="1:8" ht="27.75" customHeight="1" x14ac:dyDescent="0.3">
      <c r="A134" s="36" t="s">
        <v>896</v>
      </c>
      <c r="B134" s="36" t="s">
        <v>184</v>
      </c>
      <c r="C134" s="36">
        <v>34</v>
      </c>
      <c r="D134" s="36">
        <v>66</v>
      </c>
      <c r="E134" s="70" t="s">
        <v>763</v>
      </c>
      <c r="F134" s="23" t="s">
        <v>829</v>
      </c>
      <c r="G134" s="36" t="s">
        <v>280</v>
      </c>
      <c r="H134" s="75" t="s">
        <v>773</v>
      </c>
    </row>
    <row r="135" spans="1:8" ht="27.75" customHeight="1" x14ac:dyDescent="0.3">
      <c r="A135" s="72" t="s">
        <v>897</v>
      </c>
      <c r="B135" s="72" t="s">
        <v>184</v>
      </c>
      <c r="C135" s="72">
        <v>67</v>
      </c>
      <c r="D135" s="72">
        <v>99</v>
      </c>
      <c r="E135" s="73" t="s">
        <v>766</v>
      </c>
      <c r="F135" s="74" t="s">
        <v>829</v>
      </c>
      <c r="G135" s="72" t="s">
        <v>280</v>
      </c>
      <c r="H135" s="69" t="s">
        <v>761</v>
      </c>
    </row>
    <row r="136" spans="1:8" ht="27.75" customHeight="1" x14ac:dyDescent="0.3">
      <c r="A136" s="66" t="s">
        <v>898</v>
      </c>
      <c r="B136" s="66" t="s">
        <v>186</v>
      </c>
      <c r="C136" s="66">
        <v>0</v>
      </c>
      <c r="D136" s="66">
        <v>33</v>
      </c>
      <c r="E136" s="67" t="s">
        <v>760</v>
      </c>
      <c r="F136" s="68" t="s">
        <v>829</v>
      </c>
      <c r="G136" s="66" t="s">
        <v>280</v>
      </c>
      <c r="H136" s="71" t="s">
        <v>764</v>
      </c>
    </row>
    <row r="137" spans="1:8" ht="27.75" customHeight="1" x14ac:dyDescent="0.3">
      <c r="A137" s="36" t="s">
        <v>899</v>
      </c>
      <c r="B137" s="36" t="s">
        <v>186</v>
      </c>
      <c r="C137" s="36">
        <v>34</v>
      </c>
      <c r="D137" s="36">
        <v>66</v>
      </c>
      <c r="E137" s="70" t="s">
        <v>763</v>
      </c>
      <c r="F137" s="23" t="s">
        <v>829</v>
      </c>
      <c r="G137" s="36" t="s">
        <v>272</v>
      </c>
      <c r="H137" s="71" t="s">
        <v>764</v>
      </c>
    </row>
    <row r="138" spans="1:8" ht="27.75" customHeight="1" x14ac:dyDescent="0.3">
      <c r="A138" s="72" t="s">
        <v>900</v>
      </c>
      <c r="B138" s="72" t="s">
        <v>186</v>
      </c>
      <c r="C138" s="72">
        <v>67</v>
      </c>
      <c r="D138" s="72">
        <v>99</v>
      </c>
      <c r="E138" s="73" t="s">
        <v>766</v>
      </c>
      <c r="F138" s="74" t="s">
        <v>829</v>
      </c>
      <c r="G138" s="72" t="s">
        <v>272</v>
      </c>
      <c r="H138" s="75" t="s">
        <v>773</v>
      </c>
    </row>
    <row r="139" spans="1:8" ht="27.75" customHeight="1" x14ac:dyDescent="0.3">
      <c r="A139" s="66" t="s">
        <v>901</v>
      </c>
      <c r="B139" s="66" t="s">
        <v>188</v>
      </c>
      <c r="C139" s="66">
        <v>0</v>
      </c>
      <c r="D139" s="66">
        <v>33</v>
      </c>
      <c r="E139" s="67" t="s">
        <v>760</v>
      </c>
      <c r="F139" s="68" t="s">
        <v>829</v>
      </c>
      <c r="G139" s="66" t="s">
        <v>280</v>
      </c>
      <c r="H139" s="75" t="s">
        <v>773</v>
      </c>
    </row>
    <row r="140" spans="1:8" ht="27.75" customHeight="1" x14ac:dyDescent="0.3">
      <c r="A140" s="36" t="s">
        <v>902</v>
      </c>
      <c r="B140" s="36" t="s">
        <v>188</v>
      </c>
      <c r="C140" s="36">
        <v>34</v>
      </c>
      <c r="D140" s="36">
        <v>66</v>
      </c>
      <c r="E140" s="70" t="s">
        <v>763</v>
      </c>
      <c r="F140" s="23" t="s">
        <v>829</v>
      </c>
      <c r="G140" s="36" t="s">
        <v>272</v>
      </c>
      <c r="H140" s="75" t="s">
        <v>773</v>
      </c>
    </row>
    <row r="141" spans="1:8" ht="27.75" customHeight="1" x14ac:dyDescent="0.3">
      <c r="A141" s="72" t="s">
        <v>903</v>
      </c>
      <c r="B141" s="72" t="s">
        <v>188</v>
      </c>
      <c r="C141" s="72">
        <v>67</v>
      </c>
      <c r="D141" s="72">
        <v>99</v>
      </c>
      <c r="E141" s="73" t="s">
        <v>766</v>
      </c>
      <c r="F141" s="74" t="s">
        <v>829</v>
      </c>
      <c r="G141" s="72" t="s">
        <v>272</v>
      </c>
      <c r="H141" s="75" t="s">
        <v>773</v>
      </c>
    </row>
    <row r="142" spans="1:8" ht="27.75" customHeight="1" x14ac:dyDescent="0.3">
      <c r="A142" s="66" t="s">
        <v>904</v>
      </c>
      <c r="B142" s="66" t="s">
        <v>190</v>
      </c>
      <c r="C142" s="66">
        <v>0</v>
      </c>
      <c r="D142" s="66">
        <v>33</v>
      </c>
      <c r="E142" s="67" t="s">
        <v>760</v>
      </c>
      <c r="F142" s="68" t="s">
        <v>829</v>
      </c>
      <c r="G142" s="66" t="s">
        <v>280</v>
      </c>
      <c r="H142" s="75" t="s">
        <v>773</v>
      </c>
    </row>
    <row r="143" spans="1:8" ht="27.75" customHeight="1" x14ac:dyDescent="0.3">
      <c r="A143" s="36" t="s">
        <v>905</v>
      </c>
      <c r="B143" s="36" t="s">
        <v>190</v>
      </c>
      <c r="C143" s="36">
        <v>34</v>
      </c>
      <c r="D143" s="36">
        <v>66</v>
      </c>
      <c r="E143" s="70" t="s">
        <v>763</v>
      </c>
      <c r="F143" s="23" t="s">
        <v>829</v>
      </c>
      <c r="G143" s="36" t="s">
        <v>272</v>
      </c>
      <c r="H143" s="69" t="s">
        <v>761</v>
      </c>
    </row>
    <row r="144" spans="1:8" ht="27.75" customHeight="1" x14ac:dyDescent="0.3">
      <c r="A144" s="72" t="s">
        <v>906</v>
      </c>
      <c r="B144" s="72" t="s">
        <v>190</v>
      </c>
      <c r="C144" s="72">
        <v>67</v>
      </c>
      <c r="D144" s="72">
        <v>99</v>
      </c>
      <c r="E144" s="73" t="s">
        <v>766</v>
      </c>
      <c r="F144" s="74" t="s">
        <v>829</v>
      </c>
      <c r="G144" s="72" t="s">
        <v>280</v>
      </c>
      <c r="H144" s="69" t="s">
        <v>761</v>
      </c>
    </row>
    <row r="145" spans="1:8" ht="27.75" customHeight="1" x14ac:dyDescent="0.3">
      <c r="A145" s="66" t="s">
        <v>907</v>
      </c>
      <c r="B145" s="66" t="s">
        <v>192</v>
      </c>
      <c r="C145" s="66">
        <v>0</v>
      </c>
      <c r="D145" s="66">
        <v>33</v>
      </c>
      <c r="E145" s="67" t="s">
        <v>760</v>
      </c>
      <c r="F145" s="68" t="s">
        <v>829</v>
      </c>
      <c r="G145" s="66" t="s">
        <v>272</v>
      </c>
      <c r="H145" s="75" t="s">
        <v>773</v>
      </c>
    </row>
    <row r="146" spans="1:8" ht="27.75" customHeight="1" x14ac:dyDescent="0.3">
      <c r="A146" s="36" t="s">
        <v>908</v>
      </c>
      <c r="B146" s="36" t="s">
        <v>192</v>
      </c>
      <c r="C146" s="36">
        <v>34</v>
      </c>
      <c r="D146" s="36">
        <v>66</v>
      </c>
      <c r="E146" s="70" t="s">
        <v>763</v>
      </c>
      <c r="F146" s="23" t="s">
        <v>829</v>
      </c>
      <c r="G146" s="36" t="s">
        <v>280</v>
      </c>
      <c r="H146" s="71" t="s">
        <v>764</v>
      </c>
    </row>
    <row r="147" spans="1:8" ht="27.75" customHeight="1" x14ac:dyDescent="0.3">
      <c r="A147" s="72" t="s">
        <v>909</v>
      </c>
      <c r="B147" s="72" t="s">
        <v>192</v>
      </c>
      <c r="C147" s="72">
        <v>67</v>
      </c>
      <c r="D147" s="72">
        <v>99</v>
      </c>
      <c r="E147" s="73" t="s">
        <v>766</v>
      </c>
      <c r="F147" s="74" t="s">
        <v>829</v>
      </c>
      <c r="G147" s="72" t="s">
        <v>272</v>
      </c>
      <c r="H147" s="69" t="s">
        <v>761</v>
      </c>
    </row>
    <row r="148" spans="1:8" ht="27.75" customHeight="1" x14ac:dyDescent="0.3">
      <c r="A148" s="66" t="s">
        <v>910</v>
      </c>
      <c r="B148" s="66" t="s">
        <v>194</v>
      </c>
      <c r="C148" s="66">
        <v>0</v>
      </c>
      <c r="D148" s="66">
        <v>33</v>
      </c>
      <c r="E148" s="67" t="s">
        <v>760</v>
      </c>
      <c r="F148" s="68" t="s">
        <v>829</v>
      </c>
      <c r="G148" s="66" t="s">
        <v>280</v>
      </c>
      <c r="H148" s="71" t="s">
        <v>764</v>
      </c>
    </row>
    <row r="149" spans="1:8" ht="27.75" customHeight="1" x14ac:dyDescent="0.3">
      <c r="A149" s="36" t="s">
        <v>911</v>
      </c>
      <c r="B149" s="36" t="s">
        <v>194</v>
      </c>
      <c r="C149" s="36">
        <v>34</v>
      </c>
      <c r="D149" s="36">
        <v>66</v>
      </c>
      <c r="E149" s="70" t="s">
        <v>763</v>
      </c>
      <c r="F149" s="23" t="s">
        <v>829</v>
      </c>
      <c r="G149" s="36" t="s">
        <v>272</v>
      </c>
      <c r="H149" s="69" t="s">
        <v>761</v>
      </c>
    </row>
    <row r="150" spans="1:8" ht="27.75" customHeight="1" x14ac:dyDescent="0.3">
      <c r="A150" s="72" t="s">
        <v>912</v>
      </c>
      <c r="B150" s="72" t="s">
        <v>194</v>
      </c>
      <c r="C150" s="72">
        <v>67</v>
      </c>
      <c r="D150" s="72">
        <v>99</v>
      </c>
      <c r="E150" s="73" t="s">
        <v>766</v>
      </c>
      <c r="F150" s="74" t="s">
        <v>829</v>
      </c>
      <c r="G150" s="72" t="s">
        <v>272</v>
      </c>
      <c r="H150" s="75" t="s">
        <v>773</v>
      </c>
    </row>
    <row r="151" spans="1:8" ht="27.75" customHeight="1" x14ac:dyDescent="0.3">
      <c r="A151" s="66" t="s">
        <v>913</v>
      </c>
      <c r="B151" s="66" t="s">
        <v>196</v>
      </c>
      <c r="C151" s="66">
        <v>0</v>
      </c>
      <c r="D151" s="66">
        <v>33</v>
      </c>
      <c r="E151" s="67" t="s">
        <v>760</v>
      </c>
      <c r="F151" s="68" t="s">
        <v>829</v>
      </c>
      <c r="G151" s="66" t="s">
        <v>272</v>
      </c>
      <c r="H151" s="69" t="s">
        <v>761</v>
      </c>
    </row>
    <row r="152" spans="1:8" ht="27.75" customHeight="1" x14ac:dyDescent="0.3">
      <c r="A152" s="36" t="s">
        <v>914</v>
      </c>
      <c r="B152" s="36" t="s">
        <v>196</v>
      </c>
      <c r="C152" s="36">
        <v>34</v>
      </c>
      <c r="D152" s="36">
        <v>66</v>
      </c>
      <c r="E152" s="70" t="s">
        <v>763</v>
      </c>
      <c r="F152" s="23" t="s">
        <v>829</v>
      </c>
      <c r="G152" s="36" t="s">
        <v>280</v>
      </c>
      <c r="H152" s="69" t="s">
        <v>761</v>
      </c>
    </row>
    <row r="153" spans="1:8" ht="27.75" customHeight="1" x14ac:dyDescent="0.3">
      <c r="A153" s="72" t="s">
        <v>915</v>
      </c>
      <c r="B153" s="72" t="s">
        <v>196</v>
      </c>
      <c r="C153" s="72">
        <v>67</v>
      </c>
      <c r="D153" s="72">
        <v>99</v>
      </c>
      <c r="E153" s="73" t="s">
        <v>766</v>
      </c>
      <c r="F153" s="74" t="s">
        <v>829</v>
      </c>
      <c r="G153" s="72" t="s">
        <v>272</v>
      </c>
      <c r="H153" s="69" t="s">
        <v>761</v>
      </c>
    </row>
    <row r="154" spans="1:8" ht="27.75" customHeight="1" x14ac:dyDescent="0.3">
      <c r="A154" s="66" t="s">
        <v>916</v>
      </c>
      <c r="B154" s="66" t="s">
        <v>198</v>
      </c>
      <c r="C154" s="66">
        <v>0</v>
      </c>
      <c r="D154" s="66">
        <v>33</v>
      </c>
      <c r="E154" s="67" t="s">
        <v>760</v>
      </c>
      <c r="F154" s="68" t="s">
        <v>829</v>
      </c>
      <c r="G154" s="66" t="s">
        <v>280</v>
      </c>
      <c r="H154" s="75" t="s">
        <v>773</v>
      </c>
    </row>
    <row r="155" spans="1:8" ht="27.75" customHeight="1" x14ac:dyDescent="0.3">
      <c r="A155" s="36" t="s">
        <v>917</v>
      </c>
      <c r="B155" s="36" t="s">
        <v>198</v>
      </c>
      <c r="C155" s="36">
        <v>34</v>
      </c>
      <c r="D155" s="36">
        <v>66</v>
      </c>
      <c r="E155" s="70" t="s">
        <v>763</v>
      </c>
      <c r="F155" s="23" t="s">
        <v>829</v>
      </c>
      <c r="G155" s="36" t="s">
        <v>272</v>
      </c>
      <c r="H155" s="71" t="s">
        <v>764</v>
      </c>
    </row>
    <row r="156" spans="1:8" ht="27.75" customHeight="1" x14ac:dyDescent="0.3">
      <c r="A156" s="72" t="s">
        <v>918</v>
      </c>
      <c r="B156" s="72" t="s">
        <v>198</v>
      </c>
      <c r="C156" s="72">
        <v>67</v>
      </c>
      <c r="D156" s="72">
        <v>99</v>
      </c>
      <c r="E156" s="73" t="s">
        <v>766</v>
      </c>
      <c r="F156" s="74" t="s">
        <v>829</v>
      </c>
      <c r="G156" s="72" t="s">
        <v>280</v>
      </c>
      <c r="H156" s="69" t="s">
        <v>761</v>
      </c>
    </row>
    <row r="157" spans="1:8" ht="27.75" customHeight="1" x14ac:dyDescent="0.3">
      <c r="A157" s="66" t="s">
        <v>919</v>
      </c>
      <c r="B157" s="66" t="s">
        <v>200</v>
      </c>
      <c r="C157" s="66">
        <v>0</v>
      </c>
      <c r="D157" s="66">
        <v>33</v>
      </c>
      <c r="E157" s="67" t="s">
        <v>760</v>
      </c>
      <c r="F157" s="68" t="s">
        <v>829</v>
      </c>
      <c r="G157" s="66" t="s">
        <v>272</v>
      </c>
      <c r="H157" s="75" t="s">
        <v>773</v>
      </c>
    </row>
    <row r="158" spans="1:8" ht="27.75" customHeight="1" x14ac:dyDescent="0.3">
      <c r="A158" s="36" t="s">
        <v>920</v>
      </c>
      <c r="B158" s="36" t="s">
        <v>200</v>
      </c>
      <c r="C158" s="36">
        <v>34</v>
      </c>
      <c r="D158" s="36">
        <v>66</v>
      </c>
      <c r="E158" s="70" t="s">
        <v>763</v>
      </c>
      <c r="F158" s="23" t="s">
        <v>829</v>
      </c>
      <c r="G158" s="36" t="s">
        <v>280</v>
      </c>
      <c r="H158" s="71" t="s">
        <v>764</v>
      </c>
    </row>
    <row r="159" spans="1:8" ht="27.75" customHeight="1" x14ac:dyDescent="0.3">
      <c r="A159" s="72" t="s">
        <v>921</v>
      </c>
      <c r="B159" s="72" t="s">
        <v>200</v>
      </c>
      <c r="C159" s="72">
        <v>67</v>
      </c>
      <c r="D159" s="72">
        <v>99</v>
      </c>
      <c r="E159" s="73" t="s">
        <v>766</v>
      </c>
      <c r="F159" s="74" t="s">
        <v>829</v>
      </c>
      <c r="G159" s="72" t="s">
        <v>280</v>
      </c>
      <c r="H159" s="71" t="s">
        <v>764</v>
      </c>
    </row>
    <row r="160" spans="1:8" ht="27.75" customHeight="1" x14ac:dyDescent="0.3">
      <c r="A160" s="66" t="s">
        <v>922</v>
      </c>
      <c r="B160" s="66" t="s">
        <v>202</v>
      </c>
      <c r="C160" s="66">
        <v>0</v>
      </c>
      <c r="D160" s="66">
        <v>33</v>
      </c>
      <c r="E160" s="67" t="s">
        <v>760</v>
      </c>
      <c r="F160" s="68" t="s">
        <v>829</v>
      </c>
      <c r="G160" s="66" t="s">
        <v>280</v>
      </c>
      <c r="H160" s="69" t="s">
        <v>761</v>
      </c>
    </row>
    <row r="161" spans="1:8" ht="27.75" customHeight="1" x14ac:dyDescent="0.3">
      <c r="A161" s="36" t="s">
        <v>923</v>
      </c>
      <c r="B161" s="36" t="s">
        <v>202</v>
      </c>
      <c r="C161" s="36">
        <v>34</v>
      </c>
      <c r="D161" s="36">
        <v>66</v>
      </c>
      <c r="E161" s="70" t="s">
        <v>763</v>
      </c>
      <c r="F161" s="23" t="s">
        <v>829</v>
      </c>
      <c r="G161" s="36" t="s">
        <v>272</v>
      </c>
      <c r="H161" s="69" t="s">
        <v>761</v>
      </c>
    </row>
    <row r="162" spans="1:8" ht="27.75" customHeight="1" x14ac:dyDescent="0.3">
      <c r="A162" s="72" t="s">
        <v>924</v>
      </c>
      <c r="B162" s="72" t="s">
        <v>202</v>
      </c>
      <c r="C162" s="72">
        <v>67</v>
      </c>
      <c r="D162" s="72">
        <v>99</v>
      </c>
      <c r="E162" s="73" t="s">
        <v>766</v>
      </c>
      <c r="F162" s="74" t="s">
        <v>829</v>
      </c>
      <c r="G162" s="72" t="s">
        <v>272</v>
      </c>
      <c r="H162" s="71" t="s">
        <v>764</v>
      </c>
    </row>
    <row r="163" spans="1:8" ht="27.75" customHeight="1" x14ac:dyDescent="0.3">
      <c r="A163" s="66" t="s">
        <v>925</v>
      </c>
      <c r="B163" s="66" t="s">
        <v>204</v>
      </c>
      <c r="C163" s="66">
        <v>0</v>
      </c>
      <c r="D163" s="66">
        <v>33</v>
      </c>
      <c r="E163" s="67" t="s">
        <v>760</v>
      </c>
      <c r="F163" s="68" t="s">
        <v>829</v>
      </c>
      <c r="G163" s="66" t="s">
        <v>272</v>
      </c>
      <c r="H163" s="75" t="s">
        <v>773</v>
      </c>
    </row>
    <row r="164" spans="1:8" ht="27.75" customHeight="1" x14ac:dyDescent="0.3">
      <c r="A164" s="36" t="s">
        <v>926</v>
      </c>
      <c r="B164" s="36" t="s">
        <v>204</v>
      </c>
      <c r="C164" s="36">
        <v>34</v>
      </c>
      <c r="D164" s="36">
        <v>66</v>
      </c>
      <c r="E164" s="70" t="s">
        <v>763</v>
      </c>
      <c r="F164" s="23" t="s">
        <v>829</v>
      </c>
      <c r="G164" s="36" t="s">
        <v>272</v>
      </c>
      <c r="H164" s="75" t="s">
        <v>773</v>
      </c>
    </row>
    <row r="165" spans="1:8" ht="27.75" customHeight="1" x14ac:dyDescent="0.3">
      <c r="A165" s="72" t="s">
        <v>927</v>
      </c>
      <c r="B165" s="72" t="s">
        <v>204</v>
      </c>
      <c r="C165" s="72">
        <v>67</v>
      </c>
      <c r="D165" s="72">
        <v>99</v>
      </c>
      <c r="E165" s="73" t="s">
        <v>766</v>
      </c>
      <c r="F165" s="74" t="s">
        <v>829</v>
      </c>
      <c r="G165" s="72" t="s">
        <v>272</v>
      </c>
      <c r="H165" s="69" t="s">
        <v>761</v>
      </c>
    </row>
    <row r="166" spans="1:8" ht="27.75" customHeight="1" x14ac:dyDescent="0.3">
      <c r="A166" s="66" t="s">
        <v>928</v>
      </c>
      <c r="B166" s="66" t="s">
        <v>206</v>
      </c>
      <c r="C166" s="66">
        <v>0</v>
      </c>
      <c r="D166" s="66">
        <v>33</v>
      </c>
      <c r="E166" s="67" t="s">
        <v>760</v>
      </c>
      <c r="F166" s="68" t="s">
        <v>829</v>
      </c>
      <c r="G166" s="66" t="s">
        <v>272</v>
      </c>
      <c r="H166" s="75" t="s">
        <v>773</v>
      </c>
    </row>
    <row r="167" spans="1:8" ht="27.75" customHeight="1" x14ac:dyDescent="0.3">
      <c r="A167" s="36" t="s">
        <v>929</v>
      </c>
      <c r="B167" s="36" t="s">
        <v>206</v>
      </c>
      <c r="C167" s="36">
        <v>34</v>
      </c>
      <c r="D167" s="36">
        <v>66</v>
      </c>
      <c r="E167" s="70" t="s">
        <v>763</v>
      </c>
      <c r="F167" s="23" t="s">
        <v>829</v>
      </c>
      <c r="G167" s="36" t="s">
        <v>272</v>
      </c>
      <c r="H167" s="69" t="s">
        <v>761</v>
      </c>
    </row>
    <row r="168" spans="1:8" ht="27.75" customHeight="1" x14ac:dyDescent="0.3">
      <c r="A168" s="72" t="s">
        <v>930</v>
      </c>
      <c r="B168" s="72" t="s">
        <v>206</v>
      </c>
      <c r="C168" s="72">
        <v>67</v>
      </c>
      <c r="D168" s="72">
        <v>99</v>
      </c>
      <c r="E168" s="73" t="s">
        <v>766</v>
      </c>
      <c r="F168" s="74" t="s">
        <v>829</v>
      </c>
      <c r="G168" s="72" t="s">
        <v>272</v>
      </c>
      <c r="H168" s="69" t="s">
        <v>761</v>
      </c>
    </row>
    <row r="169" spans="1:8" ht="27.75" customHeight="1" x14ac:dyDescent="0.3">
      <c r="A169" s="66" t="s">
        <v>931</v>
      </c>
      <c r="B169" s="66" t="s">
        <v>208</v>
      </c>
      <c r="C169" s="66">
        <v>0</v>
      </c>
      <c r="D169" s="66">
        <v>33</v>
      </c>
      <c r="E169" s="67" t="s">
        <v>760</v>
      </c>
      <c r="F169" s="68" t="s">
        <v>829</v>
      </c>
      <c r="G169" s="66" t="s">
        <v>280</v>
      </c>
      <c r="H169" s="69" t="s">
        <v>761</v>
      </c>
    </row>
    <row r="170" spans="1:8" ht="27.75" customHeight="1" x14ac:dyDescent="0.3">
      <c r="A170" s="36" t="s">
        <v>932</v>
      </c>
      <c r="B170" s="36" t="s">
        <v>208</v>
      </c>
      <c r="C170" s="36">
        <v>34</v>
      </c>
      <c r="D170" s="36">
        <v>66</v>
      </c>
      <c r="E170" s="70" t="s">
        <v>763</v>
      </c>
      <c r="F170" s="23" t="s">
        <v>829</v>
      </c>
      <c r="G170" s="36" t="s">
        <v>272</v>
      </c>
      <c r="H170" s="71" t="s">
        <v>764</v>
      </c>
    </row>
    <row r="171" spans="1:8" ht="27.75" customHeight="1" x14ac:dyDescent="0.3">
      <c r="A171" s="72" t="s">
        <v>933</v>
      </c>
      <c r="B171" s="72" t="s">
        <v>208</v>
      </c>
      <c r="C171" s="72">
        <v>67</v>
      </c>
      <c r="D171" s="72">
        <v>99</v>
      </c>
      <c r="E171" s="73" t="s">
        <v>766</v>
      </c>
      <c r="F171" s="74" t="s">
        <v>829</v>
      </c>
      <c r="G171" s="72" t="s">
        <v>280</v>
      </c>
      <c r="H171" s="69" t="s">
        <v>761</v>
      </c>
    </row>
    <row r="172" spans="1:8" ht="27.75" customHeight="1" x14ac:dyDescent="0.3">
      <c r="A172" s="66" t="s">
        <v>934</v>
      </c>
      <c r="B172" s="66" t="s">
        <v>210</v>
      </c>
      <c r="C172" s="66">
        <v>0</v>
      </c>
      <c r="D172" s="66">
        <v>33</v>
      </c>
      <c r="E172" s="67" t="s">
        <v>760</v>
      </c>
      <c r="F172" s="68" t="s">
        <v>829</v>
      </c>
      <c r="G172" s="66" t="s">
        <v>272</v>
      </c>
      <c r="H172" s="75" t="s">
        <v>773</v>
      </c>
    </row>
    <row r="173" spans="1:8" ht="27.75" customHeight="1" x14ac:dyDescent="0.3">
      <c r="A173" s="36" t="s">
        <v>935</v>
      </c>
      <c r="B173" s="36" t="s">
        <v>210</v>
      </c>
      <c r="C173" s="36">
        <v>34</v>
      </c>
      <c r="D173" s="36">
        <v>66</v>
      </c>
      <c r="E173" s="70" t="s">
        <v>763</v>
      </c>
      <c r="F173" s="23" t="s">
        <v>829</v>
      </c>
      <c r="G173" s="36" t="s">
        <v>280</v>
      </c>
      <c r="H173" s="69" t="s">
        <v>761</v>
      </c>
    </row>
    <row r="174" spans="1:8" ht="27.75" customHeight="1" x14ac:dyDescent="0.3">
      <c r="A174" s="72" t="s">
        <v>936</v>
      </c>
      <c r="B174" s="72" t="s">
        <v>210</v>
      </c>
      <c r="C174" s="72">
        <v>67</v>
      </c>
      <c r="D174" s="72">
        <v>99</v>
      </c>
      <c r="E174" s="73" t="s">
        <v>766</v>
      </c>
      <c r="F174" s="74" t="s">
        <v>829</v>
      </c>
      <c r="G174" s="72" t="s">
        <v>280</v>
      </c>
      <c r="H174" s="71" t="s">
        <v>764</v>
      </c>
    </row>
    <row r="175" spans="1:8" ht="27.75" customHeight="1" x14ac:dyDescent="0.3">
      <c r="A175" s="66" t="s">
        <v>937</v>
      </c>
      <c r="B175" s="66" t="s">
        <v>212</v>
      </c>
      <c r="C175" s="66">
        <v>0</v>
      </c>
      <c r="D175" s="66">
        <v>33</v>
      </c>
      <c r="E175" s="67" t="s">
        <v>760</v>
      </c>
      <c r="F175" s="68" t="s">
        <v>829</v>
      </c>
      <c r="G175" s="66" t="s">
        <v>272</v>
      </c>
      <c r="H175" s="69" t="s">
        <v>761</v>
      </c>
    </row>
    <row r="176" spans="1:8" ht="27.75" customHeight="1" x14ac:dyDescent="0.3">
      <c r="A176" s="36" t="s">
        <v>938</v>
      </c>
      <c r="B176" s="36" t="s">
        <v>212</v>
      </c>
      <c r="C176" s="36">
        <v>34</v>
      </c>
      <c r="D176" s="36">
        <v>66</v>
      </c>
      <c r="E176" s="70" t="s">
        <v>763</v>
      </c>
      <c r="F176" s="23" t="s">
        <v>829</v>
      </c>
      <c r="G176" s="36" t="s">
        <v>272</v>
      </c>
      <c r="H176" s="75" t="s">
        <v>773</v>
      </c>
    </row>
    <row r="177" spans="1:8" ht="27.75" customHeight="1" x14ac:dyDescent="0.3">
      <c r="A177" s="72" t="s">
        <v>939</v>
      </c>
      <c r="B177" s="72" t="s">
        <v>212</v>
      </c>
      <c r="C177" s="72">
        <v>67</v>
      </c>
      <c r="D177" s="72">
        <v>99</v>
      </c>
      <c r="E177" s="73" t="s">
        <v>766</v>
      </c>
      <c r="F177" s="74" t="s">
        <v>829</v>
      </c>
      <c r="G177" s="72" t="s">
        <v>280</v>
      </c>
      <c r="H177" s="71" t="s">
        <v>764</v>
      </c>
    </row>
    <row r="178" spans="1:8" ht="27.75" customHeight="1" x14ac:dyDescent="0.3">
      <c r="A178" s="66" t="s">
        <v>940</v>
      </c>
      <c r="B178" s="66" t="s">
        <v>214</v>
      </c>
      <c r="C178" s="66">
        <v>0</v>
      </c>
      <c r="D178" s="66">
        <v>33</v>
      </c>
      <c r="E178" s="67" t="s">
        <v>760</v>
      </c>
      <c r="F178" s="68" t="s">
        <v>829</v>
      </c>
      <c r="G178" s="66" t="s">
        <v>280</v>
      </c>
      <c r="H178" s="71" t="s">
        <v>764</v>
      </c>
    </row>
    <row r="179" spans="1:8" ht="27.75" customHeight="1" x14ac:dyDescent="0.3">
      <c r="A179" s="36" t="s">
        <v>941</v>
      </c>
      <c r="B179" s="36" t="s">
        <v>214</v>
      </c>
      <c r="C179" s="36">
        <v>34</v>
      </c>
      <c r="D179" s="36">
        <v>66</v>
      </c>
      <c r="E179" s="70" t="s">
        <v>763</v>
      </c>
      <c r="F179" s="23" t="s">
        <v>829</v>
      </c>
      <c r="G179" s="36" t="s">
        <v>280</v>
      </c>
      <c r="H179" s="75" t="s">
        <v>773</v>
      </c>
    </row>
    <row r="180" spans="1:8" ht="27.75" customHeight="1" x14ac:dyDescent="0.3">
      <c r="A180" s="72" t="s">
        <v>942</v>
      </c>
      <c r="B180" s="72" t="s">
        <v>214</v>
      </c>
      <c r="C180" s="72">
        <v>67</v>
      </c>
      <c r="D180" s="72">
        <v>99</v>
      </c>
      <c r="E180" s="73" t="s">
        <v>766</v>
      </c>
      <c r="F180" s="74" t="s">
        <v>829</v>
      </c>
      <c r="G180" s="72" t="s">
        <v>272</v>
      </c>
      <c r="H180" s="75" t="s">
        <v>773</v>
      </c>
    </row>
    <row r="181" spans="1:8" ht="27.75" customHeight="1" x14ac:dyDescent="0.3">
      <c r="A181" s="66" t="s">
        <v>943</v>
      </c>
      <c r="B181" s="66" t="s">
        <v>216</v>
      </c>
      <c r="C181" s="66">
        <v>0</v>
      </c>
      <c r="D181" s="66">
        <v>33</v>
      </c>
      <c r="E181" s="67" t="s">
        <v>760</v>
      </c>
      <c r="F181" s="68" t="s">
        <v>829</v>
      </c>
      <c r="G181" s="66" t="s">
        <v>272</v>
      </c>
      <c r="H181" s="69" t="s">
        <v>761</v>
      </c>
    </row>
    <row r="182" spans="1:8" ht="27.75" customHeight="1" x14ac:dyDescent="0.3">
      <c r="A182" s="36" t="s">
        <v>944</v>
      </c>
      <c r="B182" s="36" t="s">
        <v>216</v>
      </c>
      <c r="C182" s="36">
        <v>34</v>
      </c>
      <c r="D182" s="36">
        <v>66</v>
      </c>
      <c r="E182" s="70" t="s">
        <v>763</v>
      </c>
      <c r="F182" s="23" t="s">
        <v>829</v>
      </c>
      <c r="G182" s="36" t="s">
        <v>280</v>
      </c>
      <c r="H182" s="75" t="s">
        <v>773</v>
      </c>
    </row>
    <row r="183" spans="1:8" ht="27.75" customHeight="1" x14ac:dyDescent="0.3">
      <c r="A183" s="72" t="s">
        <v>945</v>
      </c>
      <c r="B183" s="72" t="s">
        <v>216</v>
      </c>
      <c r="C183" s="72">
        <v>67</v>
      </c>
      <c r="D183" s="72">
        <v>99</v>
      </c>
      <c r="E183" s="73" t="s">
        <v>766</v>
      </c>
      <c r="F183" s="74" t="s">
        <v>829</v>
      </c>
      <c r="G183" s="72" t="s">
        <v>280</v>
      </c>
      <c r="H183" s="69" t="s">
        <v>761</v>
      </c>
    </row>
    <row r="184" spans="1:8" ht="27.75" customHeight="1" x14ac:dyDescent="0.3">
      <c r="A184" s="66" t="s">
        <v>946</v>
      </c>
      <c r="B184" s="66" t="s">
        <v>218</v>
      </c>
      <c r="C184" s="66">
        <v>0</v>
      </c>
      <c r="D184" s="66">
        <v>33</v>
      </c>
      <c r="E184" s="67" t="s">
        <v>760</v>
      </c>
      <c r="F184" s="68" t="s">
        <v>829</v>
      </c>
      <c r="G184" s="66" t="s">
        <v>272</v>
      </c>
      <c r="H184" s="69" t="s">
        <v>761</v>
      </c>
    </row>
    <row r="185" spans="1:8" ht="27.75" customHeight="1" x14ac:dyDescent="0.3">
      <c r="A185" s="36" t="s">
        <v>947</v>
      </c>
      <c r="B185" s="36" t="s">
        <v>218</v>
      </c>
      <c r="C185" s="36">
        <v>34</v>
      </c>
      <c r="D185" s="36">
        <v>66</v>
      </c>
      <c r="E185" s="70" t="s">
        <v>763</v>
      </c>
      <c r="F185" s="23" t="s">
        <v>829</v>
      </c>
      <c r="G185" s="36" t="s">
        <v>272</v>
      </c>
      <c r="H185" s="75" t="s">
        <v>773</v>
      </c>
    </row>
    <row r="186" spans="1:8" ht="27.75" customHeight="1" x14ac:dyDescent="0.3">
      <c r="A186" s="72" t="s">
        <v>948</v>
      </c>
      <c r="B186" s="72" t="s">
        <v>218</v>
      </c>
      <c r="C186" s="72">
        <v>67</v>
      </c>
      <c r="D186" s="72">
        <v>99</v>
      </c>
      <c r="E186" s="73" t="s">
        <v>766</v>
      </c>
      <c r="F186" s="74" t="s">
        <v>829</v>
      </c>
      <c r="G186" s="72" t="s">
        <v>280</v>
      </c>
      <c r="H186" s="69" t="s">
        <v>761</v>
      </c>
    </row>
    <row r="187" spans="1:8" ht="27.75" customHeight="1" x14ac:dyDescent="0.3">
      <c r="A187" s="66" t="s">
        <v>949</v>
      </c>
      <c r="B187" s="66" t="s">
        <v>220</v>
      </c>
      <c r="C187" s="66">
        <v>0</v>
      </c>
      <c r="D187" s="66">
        <v>33</v>
      </c>
      <c r="E187" s="67" t="s">
        <v>760</v>
      </c>
      <c r="F187" s="68" t="s">
        <v>829</v>
      </c>
      <c r="G187" s="66" t="s">
        <v>280</v>
      </c>
      <c r="H187" s="69" t="s">
        <v>761</v>
      </c>
    </row>
    <row r="188" spans="1:8" ht="27.75" customHeight="1" x14ac:dyDescent="0.3">
      <c r="A188" s="36" t="s">
        <v>950</v>
      </c>
      <c r="B188" s="36" t="s">
        <v>220</v>
      </c>
      <c r="C188" s="36">
        <v>34</v>
      </c>
      <c r="D188" s="36">
        <v>66</v>
      </c>
      <c r="E188" s="70" t="s">
        <v>763</v>
      </c>
      <c r="F188" s="23" t="s">
        <v>829</v>
      </c>
      <c r="G188" s="36" t="s">
        <v>280</v>
      </c>
      <c r="H188" s="71" t="s">
        <v>764</v>
      </c>
    </row>
    <row r="189" spans="1:8" ht="27.75" customHeight="1" x14ac:dyDescent="0.3">
      <c r="A189" s="72" t="s">
        <v>951</v>
      </c>
      <c r="B189" s="72" t="s">
        <v>220</v>
      </c>
      <c r="C189" s="72">
        <v>67</v>
      </c>
      <c r="D189" s="72">
        <v>99</v>
      </c>
      <c r="E189" s="73" t="s">
        <v>766</v>
      </c>
      <c r="F189" s="74" t="s">
        <v>829</v>
      </c>
      <c r="G189" s="72" t="s">
        <v>272</v>
      </c>
      <c r="H189" s="69" t="s">
        <v>761</v>
      </c>
    </row>
    <row r="190" spans="1:8" ht="27.75" customHeight="1" x14ac:dyDescent="0.3">
      <c r="A190" s="66" t="s">
        <v>952</v>
      </c>
      <c r="B190" s="66" t="s">
        <v>222</v>
      </c>
      <c r="C190" s="66">
        <v>0</v>
      </c>
      <c r="D190" s="66">
        <v>33</v>
      </c>
      <c r="E190" s="67" t="s">
        <v>760</v>
      </c>
      <c r="F190" s="68" t="s">
        <v>829</v>
      </c>
      <c r="G190" s="66" t="s">
        <v>280</v>
      </c>
      <c r="H190" s="75" t="s">
        <v>773</v>
      </c>
    </row>
    <row r="191" spans="1:8" ht="27.75" customHeight="1" x14ac:dyDescent="0.3">
      <c r="A191" s="36" t="s">
        <v>953</v>
      </c>
      <c r="B191" s="36" t="s">
        <v>222</v>
      </c>
      <c r="C191" s="36">
        <v>34</v>
      </c>
      <c r="D191" s="36">
        <v>66</v>
      </c>
      <c r="E191" s="70" t="s">
        <v>763</v>
      </c>
      <c r="F191" s="23" t="s">
        <v>829</v>
      </c>
      <c r="G191" s="36" t="s">
        <v>272</v>
      </c>
      <c r="H191" s="69" t="s">
        <v>761</v>
      </c>
    </row>
    <row r="192" spans="1:8" ht="27.75" customHeight="1" x14ac:dyDescent="0.3">
      <c r="A192" s="72" t="s">
        <v>954</v>
      </c>
      <c r="B192" s="72" t="s">
        <v>222</v>
      </c>
      <c r="C192" s="72">
        <v>67</v>
      </c>
      <c r="D192" s="72">
        <v>99</v>
      </c>
      <c r="E192" s="73" t="s">
        <v>766</v>
      </c>
      <c r="F192" s="74" t="s">
        <v>829</v>
      </c>
      <c r="G192" s="72" t="s">
        <v>272</v>
      </c>
      <c r="H192" s="69" t="s">
        <v>761</v>
      </c>
    </row>
    <row r="193" spans="1:8" ht="27.75" customHeight="1" x14ac:dyDescent="0.3">
      <c r="A193" s="66" t="s">
        <v>955</v>
      </c>
      <c r="B193" s="66" t="s">
        <v>224</v>
      </c>
      <c r="C193" s="66">
        <v>0</v>
      </c>
      <c r="D193" s="66">
        <v>33</v>
      </c>
      <c r="E193" s="67" t="s">
        <v>760</v>
      </c>
      <c r="F193" s="68" t="s">
        <v>829</v>
      </c>
      <c r="G193" s="66" t="s">
        <v>272</v>
      </c>
      <c r="H193" s="69" t="s">
        <v>761</v>
      </c>
    </row>
    <row r="194" spans="1:8" ht="27.75" customHeight="1" x14ac:dyDescent="0.3">
      <c r="A194" s="36" t="s">
        <v>956</v>
      </c>
      <c r="B194" s="36" t="s">
        <v>224</v>
      </c>
      <c r="C194" s="36">
        <v>34</v>
      </c>
      <c r="D194" s="36">
        <v>66</v>
      </c>
      <c r="E194" s="70" t="s">
        <v>763</v>
      </c>
      <c r="F194" s="23" t="s">
        <v>829</v>
      </c>
      <c r="G194" s="36" t="s">
        <v>280</v>
      </c>
      <c r="H194" s="71" t="s">
        <v>764</v>
      </c>
    </row>
    <row r="195" spans="1:8" ht="27.75" customHeight="1" x14ac:dyDescent="0.3">
      <c r="A195" s="72" t="s">
        <v>957</v>
      </c>
      <c r="B195" s="72" t="s">
        <v>224</v>
      </c>
      <c r="C195" s="72">
        <v>67</v>
      </c>
      <c r="D195" s="72">
        <v>99</v>
      </c>
      <c r="E195" s="73" t="s">
        <v>766</v>
      </c>
      <c r="F195" s="74" t="s">
        <v>829</v>
      </c>
      <c r="G195" s="72" t="s">
        <v>280</v>
      </c>
      <c r="H195" s="69" t="s">
        <v>761</v>
      </c>
    </row>
    <row r="196" spans="1:8" ht="27.75" customHeight="1" x14ac:dyDescent="0.3">
      <c r="A196" s="66" t="s">
        <v>958</v>
      </c>
      <c r="B196" s="66" t="s">
        <v>226</v>
      </c>
      <c r="C196" s="66">
        <v>0</v>
      </c>
      <c r="D196" s="66">
        <v>33</v>
      </c>
      <c r="E196" s="67" t="s">
        <v>760</v>
      </c>
      <c r="F196" s="68" t="s">
        <v>829</v>
      </c>
      <c r="G196" s="66" t="s">
        <v>280</v>
      </c>
      <c r="H196" s="69" t="s">
        <v>761</v>
      </c>
    </row>
    <row r="197" spans="1:8" ht="27.75" customHeight="1" x14ac:dyDescent="0.3">
      <c r="A197" s="36" t="s">
        <v>959</v>
      </c>
      <c r="B197" s="36" t="s">
        <v>226</v>
      </c>
      <c r="C197" s="36">
        <v>34</v>
      </c>
      <c r="D197" s="36">
        <v>66</v>
      </c>
      <c r="E197" s="70" t="s">
        <v>763</v>
      </c>
      <c r="F197" s="23" t="s">
        <v>829</v>
      </c>
      <c r="G197" s="36" t="s">
        <v>272</v>
      </c>
      <c r="H197" s="71" t="s">
        <v>764</v>
      </c>
    </row>
    <row r="198" spans="1:8" ht="27.75" customHeight="1" x14ac:dyDescent="0.3">
      <c r="A198" s="72" t="s">
        <v>960</v>
      </c>
      <c r="B198" s="72" t="s">
        <v>226</v>
      </c>
      <c r="C198" s="72">
        <v>67</v>
      </c>
      <c r="D198" s="72">
        <v>99</v>
      </c>
      <c r="E198" s="73" t="s">
        <v>766</v>
      </c>
      <c r="F198" s="74" t="s">
        <v>829</v>
      </c>
      <c r="G198" s="72" t="s">
        <v>272</v>
      </c>
      <c r="H198" s="71" t="s">
        <v>764</v>
      </c>
    </row>
    <row r="199" spans="1:8" ht="27.75" customHeight="1" x14ac:dyDescent="0.3">
      <c r="A199" s="66" t="s">
        <v>961</v>
      </c>
      <c r="B199" s="66" t="s">
        <v>228</v>
      </c>
      <c r="C199" s="66">
        <v>0</v>
      </c>
      <c r="D199" s="66">
        <v>33</v>
      </c>
      <c r="E199" s="67" t="s">
        <v>760</v>
      </c>
      <c r="F199" s="68" t="s">
        <v>829</v>
      </c>
      <c r="G199" s="66" t="s">
        <v>280</v>
      </c>
      <c r="H199" s="71" t="s">
        <v>764</v>
      </c>
    </row>
    <row r="200" spans="1:8" ht="27.75" customHeight="1" x14ac:dyDescent="0.3">
      <c r="A200" s="36" t="s">
        <v>962</v>
      </c>
      <c r="B200" s="36" t="s">
        <v>228</v>
      </c>
      <c r="C200" s="36">
        <v>34</v>
      </c>
      <c r="D200" s="36">
        <v>66</v>
      </c>
      <c r="E200" s="70" t="s">
        <v>763</v>
      </c>
      <c r="F200" s="23" t="s">
        <v>829</v>
      </c>
      <c r="G200" s="36" t="s">
        <v>280</v>
      </c>
      <c r="H200" s="71" t="s">
        <v>764</v>
      </c>
    </row>
    <row r="201" spans="1:8" ht="27.75" customHeight="1" x14ac:dyDescent="0.3">
      <c r="A201" s="72" t="s">
        <v>963</v>
      </c>
      <c r="B201" s="72" t="s">
        <v>228</v>
      </c>
      <c r="C201" s="72">
        <v>67</v>
      </c>
      <c r="D201" s="72">
        <v>99</v>
      </c>
      <c r="E201" s="73" t="s">
        <v>766</v>
      </c>
      <c r="F201" s="74" t="s">
        <v>829</v>
      </c>
      <c r="G201" s="72" t="s">
        <v>280</v>
      </c>
      <c r="H201" s="69" t="s">
        <v>761</v>
      </c>
    </row>
    <row r="202" spans="1:8" ht="27.75" customHeight="1" x14ac:dyDescent="0.3">
      <c r="A202" s="66" t="s">
        <v>964</v>
      </c>
      <c r="B202" s="66" t="s">
        <v>230</v>
      </c>
      <c r="C202" s="66">
        <v>0</v>
      </c>
      <c r="D202" s="66">
        <v>33</v>
      </c>
      <c r="E202" s="67" t="s">
        <v>760</v>
      </c>
      <c r="F202" s="68" t="s">
        <v>829</v>
      </c>
      <c r="G202" s="66" t="s">
        <v>272</v>
      </c>
      <c r="H202" s="71" t="s">
        <v>764</v>
      </c>
    </row>
    <row r="203" spans="1:8" ht="27.75" customHeight="1" x14ac:dyDescent="0.3">
      <c r="A203" s="36" t="s">
        <v>965</v>
      </c>
      <c r="B203" s="36" t="s">
        <v>230</v>
      </c>
      <c r="C203" s="36">
        <v>34</v>
      </c>
      <c r="D203" s="36">
        <v>66</v>
      </c>
      <c r="E203" s="70" t="s">
        <v>763</v>
      </c>
      <c r="F203" s="23" t="s">
        <v>829</v>
      </c>
      <c r="G203" s="36" t="s">
        <v>272</v>
      </c>
      <c r="H203" s="69" t="s">
        <v>761</v>
      </c>
    </row>
    <row r="204" spans="1:8" ht="27.75" customHeight="1" x14ac:dyDescent="0.3">
      <c r="A204" s="72" t="s">
        <v>966</v>
      </c>
      <c r="B204" s="72" t="s">
        <v>230</v>
      </c>
      <c r="C204" s="72">
        <v>67</v>
      </c>
      <c r="D204" s="72">
        <v>99</v>
      </c>
      <c r="E204" s="73" t="s">
        <v>766</v>
      </c>
      <c r="F204" s="74" t="s">
        <v>829</v>
      </c>
      <c r="G204" s="72" t="s">
        <v>272</v>
      </c>
      <c r="H204" s="75" t="s">
        <v>773</v>
      </c>
    </row>
    <row r="205" spans="1:8" ht="27.75" customHeight="1" x14ac:dyDescent="0.3">
      <c r="A205" s="66" t="s">
        <v>967</v>
      </c>
      <c r="B205" s="66" t="s">
        <v>232</v>
      </c>
      <c r="C205" s="66">
        <v>0</v>
      </c>
      <c r="D205" s="66">
        <v>33</v>
      </c>
      <c r="E205" s="67" t="s">
        <v>760</v>
      </c>
      <c r="F205" s="68" t="s">
        <v>829</v>
      </c>
      <c r="G205" s="66" t="s">
        <v>280</v>
      </c>
      <c r="H205" s="69" t="s">
        <v>761</v>
      </c>
    </row>
    <row r="206" spans="1:8" ht="27.75" customHeight="1" x14ac:dyDescent="0.3">
      <c r="A206" s="36" t="s">
        <v>968</v>
      </c>
      <c r="B206" s="36" t="s">
        <v>232</v>
      </c>
      <c r="C206" s="36">
        <v>34</v>
      </c>
      <c r="D206" s="36">
        <v>66</v>
      </c>
      <c r="E206" s="70" t="s">
        <v>763</v>
      </c>
      <c r="F206" s="23" t="s">
        <v>829</v>
      </c>
      <c r="G206" s="36" t="s">
        <v>272</v>
      </c>
      <c r="H206" s="75" t="s">
        <v>773</v>
      </c>
    </row>
    <row r="207" spans="1:8" ht="27.75" customHeight="1" x14ac:dyDescent="0.3">
      <c r="A207" s="72" t="s">
        <v>969</v>
      </c>
      <c r="B207" s="72" t="s">
        <v>232</v>
      </c>
      <c r="C207" s="72">
        <v>67</v>
      </c>
      <c r="D207" s="72">
        <v>99</v>
      </c>
      <c r="E207" s="73" t="s">
        <v>766</v>
      </c>
      <c r="F207" s="74" t="s">
        <v>829</v>
      </c>
      <c r="G207" s="72" t="s">
        <v>280</v>
      </c>
      <c r="H207" s="75" t="s">
        <v>773</v>
      </c>
    </row>
    <row r="208" spans="1:8" ht="27.75" customHeight="1" x14ac:dyDescent="0.3">
      <c r="A208" s="66" t="s">
        <v>970</v>
      </c>
      <c r="B208" s="66" t="s">
        <v>234</v>
      </c>
      <c r="C208" s="66">
        <v>0</v>
      </c>
      <c r="D208" s="66">
        <v>33</v>
      </c>
      <c r="E208" s="67" t="s">
        <v>760</v>
      </c>
      <c r="F208" s="68" t="s">
        <v>829</v>
      </c>
      <c r="G208" s="66" t="s">
        <v>272</v>
      </c>
      <c r="H208" s="69" t="s">
        <v>761</v>
      </c>
    </row>
    <row r="209" spans="1:8" ht="27.75" customHeight="1" x14ac:dyDescent="0.3">
      <c r="A209" s="36" t="s">
        <v>971</v>
      </c>
      <c r="B209" s="36" t="s">
        <v>234</v>
      </c>
      <c r="C209" s="36">
        <v>34</v>
      </c>
      <c r="D209" s="36">
        <v>66</v>
      </c>
      <c r="E209" s="70" t="s">
        <v>763</v>
      </c>
      <c r="F209" s="23" t="s">
        <v>829</v>
      </c>
      <c r="G209" s="36" t="s">
        <v>272</v>
      </c>
      <c r="H209" s="69" t="s">
        <v>761</v>
      </c>
    </row>
    <row r="210" spans="1:8" ht="27.75" customHeight="1" x14ac:dyDescent="0.3">
      <c r="A210" s="72" t="s">
        <v>972</v>
      </c>
      <c r="B210" s="72" t="s">
        <v>234</v>
      </c>
      <c r="C210" s="72">
        <v>67</v>
      </c>
      <c r="D210" s="72">
        <v>99</v>
      </c>
      <c r="E210" s="73" t="s">
        <v>766</v>
      </c>
      <c r="F210" s="74" t="s">
        <v>829</v>
      </c>
      <c r="G210" s="72" t="s">
        <v>272</v>
      </c>
      <c r="H210" s="75" t="s">
        <v>773</v>
      </c>
    </row>
    <row r="211" spans="1:8" ht="27.75" customHeight="1" x14ac:dyDescent="0.3">
      <c r="A211" s="66" t="s">
        <v>973</v>
      </c>
      <c r="B211" s="66" t="s">
        <v>236</v>
      </c>
      <c r="C211" s="66">
        <v>0</v>
      </c>
      <c r="D211" s="66">
        <v>33</v>
      </c>
      <c r="E211" s="67" t="s">
        <v>760</v>
      </c>
      <c r="F211" s="68" t="s">
        <v>829</v>
      </c>
      <c r="G211" s="66" t="s">
        <v>272</v>
      </c>
      <c r="H211" s="75" t="s">
        <v>773</v>
      </c>
    </row>
    <row r="212" spans="1:8" ht="27.75" customHeight="1" x14ac:dyDescent="0.3">
      <c r="A212" s="36" t="s">
        <v>974</v>
      </c>
      <c r="B212" s="36" t="s">
        <v>236</v>
      </c>
      <c r="C212" s="36">
        <v>34</v>
      </c>
      <c r="D212" s="36">
        <v>66</v>
      </c>
      <c r="E212" s="70" t="s">
        <v>763</v>
      </c>
      <c r="F212" s="23" t="s">
        <v>829</v>
      </c>
      <c r="G212" s="36" t="s">
        <v>272</v>
      </c>
      <c r="H212" s="71" t="s">
        <v>764</v>
      </c>
    </row>
    <row r="213" spans="1:8" ht="27.75" customHeight="1" x14ac:dyDescent="0.3">
      <c r="A213" s="72" t="s">
        <v>975</v>
      </c>
      <c r="B213" s="72" t="s">
        <v>236</v>
      </c>
      <c r="C213" s="72">
        <v>67</v>
      </c>
      <c r="D213" s="72">
        <v>99</v>
      </c>
      <c r="E213" s="73" t="s">
        <v>766</v>
      </c>
      <c r="F213" s="74" t="s">
        <v>829</v>
      </c>
      <c r="G213" s="72" t="s">
        <v>272</v>
      </c>
      <c r="H213" s="75" t="s">
        <v>773</v>
      </c>
    </row>
    <row r="214" spans="1:8" ht="27.75" customHeight="1" x14ac:dyDescent="0.3">
      <c r="A214" s="66" t="s">
        <v>976</v>
      </c>
      <c r="B214" s="66" t="s">
        <v>238</v>
      </c>
      <c r="C214" s="66">
        <v>0</v>
      </c>
      <c r="D214" s="66">
        <v>33</v>
      </c>
      <c r="E214" s="67" t="s">
        <v>760</v>
      </c>
      <c r="F214" s="68" t="s">
        <v>829</v>
      </c>
      <c r="G214" s="66" t="s">
        <v>272</v>
      </c>
      <c r="H214" s="75" t="s">
        <v>773</v>
      </c>
    </row>
    <row r="215" spans="1:8" ht="27.75" customHeight="1" x14ac:dyDescent="0.3">
      <c r="A215" s="36" t="s">
        <v>977</v>
      </c>
      <c r="B215" s="36" t="s">
        <v>238</v>
      </c>
      <c r="C215" s="36">
        <v>34</v>
      </c>
      <c r="D215" s="36">
        <v>66</v>
      </c>
      <c r="E215" s="70" t="s">
        <v>763</v>
      </c>
      <c r="F215" s="23" t="s">
        <v>829</v>
      </c>
      <c r="G215" s="36" t="s">
        <v>272</v>
      </c>
      <c r="H215" s="75" t="s">
        <v>773</v>
      </c>
    </row>
    <row r="216" spans="1:8" ht="27.75" customHeight="1" x14ac:dyDescent="0.3">
      <c r="A216" s="72" t="s">
        <v>978</v>
      </c>
      <c r="B216" s="72" t="s">
        <v>238</v>
      </c>
      <c r="C216" s="72">
        <v>67</v>
      </c>
      <c r="D216" s="72">
        <v>99</v>
      </c>
      <c r="E216" s="73" t="s">
        <v>766</v>
      </c>
      <c r="F216" s="74" t="s">
        <v>829</v>
      </c>
      <c r="G216" s="72" t="s">
        <v>272</v>
      </c>
      <c r="H216" s="71" t="s">
        <v>764</v>
      </c>
    </row>
    <row r="217" spans="1:8" ht="27.75" customHeight="1" x14ac:dyDescent="0.3">
      <c r="A217" s="66" t="s">
        <v>979</v>
      </c>
      <c r="B217" s="66" t="s">
        <v>240</v>
      </c>
      <c r="C217" s="66">
        <v>0</v>
      </c>
      <c r="D217" s="66">
        <v>33</v>
      </c>
      <c r="E217" s="67" t="s">
        <v>760</v>
      </c>
      <c r="F217" s="68" t="s">
        <v>829</v>
      </c>
      <c r="G217" s="66" t="s">
        <v>280</v>
      </c>
      <c r="H217" s="71" t="s">
        <v>764</v>
      </c>
    </row>
    <row r="218" spans="1:8" ht="27.75" customHeight="1" x14ac:dyDescent="0.3">
      <c r="A218" s="36" t="s">
        <v>980</v>
      </c>
      <c r="B218" s="36" t="s">
        <v>240</v>
      </c>
      <c r="C218" s="36">
        <v>34</v>
      </c>
      <c r="D218" s="36">
        <v>66</v>
      </c>
      <c r="E218" s="70" t="s">
        <v>763</v>
      </c>
      <c r="F218" s="23" t="s">
        <v>829</v>
      </c>
      <c r="G218" s="36" t="s">
        <v>272</v>
      </c>
      <c r="H218" s="75" t="s">
        <v>773</v>
      </c>
    </row>
    <row r="219" spans="1:8" ht="27.75" customHeight="1" x14ac:dyDescent="0.3">
      <c r="A219" s="72" t="s">
        <v>981</v>
      </c>
      <c r="B219" s="72" t="s">
        <v>240</v>
      </c>
      <c r="C219" s="72">
        <v>67</v>
      </c>
      <c r="D219" s="72">
        <v>99</v>
      </c>
      <c r="E219" s="73" t="s">
        <v>766</v>
      </c>
      <c r="F219" s="74" t="s">
        <v>829</v>
      </c>
      <c r="G219" s="72" t="s">
        <v>280</v>
      </c>
      <c r="H219" s="69" t="s">
        <v>761</v>
      </c>
    </row>
    <row r="220" spans="1:8" ht="27.75" customHeight="1" x14ac:dyDescent="0.3">
      <c r="A220" s="66" t="s">
        <v>982</v>
      </c>
      <c r="B220" s="66" t="s">
        <v>242</v>
      </c>
      <c r="C220" s="66">
        <v>0</v>
      </c>
      <c r="D220" s="66">
        <v>33</v>
      </c>
      <c r="E220" s="67" t="s">
        <v>760</v>
      </c>
      <c r="F220" s="68" t="s">
        <v>829</v>
      </c>
      <c r="G220" s="66" t="s">
        <v>280</v>
      </c>
      <c r="H220" s="71" t="s">
        <v>764</v>
      </c>
    </row>
    <row r="221" spans="1:8" ht="27.75" customHeight="1" x14ac:dyDescent="0.3">
      <c r="A221" s="36" t="s">
        <v>983</v>
      </c>
      <c r="B221" s="36" t="s">
        <v>242</v>
      </c>
      <c r="C221" s="36">
        <v>34</v>
      </c>
      <c r="D221" s="36">
        <v>66</v>
      </c>
      <c r="E221" s="70" t="s">
        <v>763</v>
      </c>
      <c r="F221" s="23" t="s">
        <v>829</v>
      </c>
      <c r="G221" s="36" t="s">
        <v>272</v>
      </c>
      <c r="H221" s="75" t="s">
        <v>773</v>
      </c>
    </row>
    <row r="222" spans="1:8" ht="27.75" customHeight="1" x14ac:dyDescent="0.3">
      <c r="A222" s="72" t="s">
        <v>984</v>
      </c>
      <c r="B222" s="72" t="s">
        <v>242</v>
      </c>
      <c r="C222" s="72">
        <v>67</v>
      </c>
      <c r="D222" s="72">
        <v>99</v>
      </c>
      <c r="E222" s="73" t="s">
        <v>766</v>
      </c>
      <c r="F222" s="74" t="s">
        <v>829</v>
      </c>
      <c r="G222" s="72" t="s">
        <v>280</v>
      </c>
      <c r="H222" s="71" t="s">
        <v>764</v>
      </c>
    </row>
    <row r="223" spans="1:8" ht="27.75" customHeight="1" x14ac:dyDescent="0.3">
      <c r="A223" s="66" t="s">
        <v>985</v>
      </c>
      <c r="B223" s="66" t="s">
        <v>244</v>
      </c>
      <c r="C223" s="66">
        <v>0</v>
      </c>
      <c r="D223" s="66">
        <v>33</v>
      </c>
      <c r="E223" s="67" t="s">
        <v>760</v>
      </c>
      <c r="F223" s="68" t="s">
        <v>829</v>
      </c>
      <c r="G223" s="66" t="s">
        <v>280</v>
      </c>
      <c r="H223" s="69" t="s">
        <v>761</v>
      </c>
    </row>
    <row r="224" spans="1:8" ht="27.75" customHeight="1" x14ac:dyDescent="0.3">
      <c r="A224" s="36" t="s">
        <v>986</v>
      </c>
      <c r="B224" s="36" t="s">
        <v>244</v>
      </c>
      <c r="C224" s="36">
        <v>34</v>
      </c>
      <c r="D224" s="36">
        <v>66</v>
      </c>
      <c r="E224" s="70" t="s">
        <v>763</v>
      </c>
      <c r="F224" s="23" t="s">
        <v>829</v>
      </c>
      <c r="G224" s="36" t="s">
        <v>272</v>
      </c>
      <c r="H224" s="71" t="s">
        <v>764</v>
      </c>
    </row>
    <row r="225" spans="1:8" ht="27.75" customHeight="1" x14ac:dyDescent="0.3">
      <c r="A225" s="72" t="s">
        <v>987</v>
      </c>
      <c r="B225" s="72" t="s">
        <v>244</v>
      </c>
      <c r="C225" s="72">
        <v>67</v>
      </c>
      <c r="D225" s="72">
        <v>99</v>
      </c>
      <c r="E225" s="73" t="s">
        <v>766</v>
      </c>
      <c r="F225" s="74" t="s">
        <v>829</v>
      </c>
      <c r="G225" s="72" t="s">
        <v>272</v>
      </c>
      <c r="H225" s="69" t="s">
        <v>761</v>
      </c>
    </row>
    <row r="226" spans="1:8" ht="27.75" customHeight="1" x14ac:dyDescent="0.3">
      <c r="A226" s="66" t="s">
        <v>988</v>
      </c>
      <c r="B226" s="66" t="s">
        <v>246</v>
      </c>
      <c r="C226" s="66">
        <v>0</v>
      </c>
      <c r="D226" s="66">
        <v>33</v>
      </c>
      <c r="E226" s="67" t="s">
        <v>760</v>
      </c>
      <c r="F226" s="68" t="s">
        <v>829</v>
      </c>
      <c r="G226" s="66" t="s">
        <v>272</v>
      </c>
      <c r="H226" s="75" t="s">
        <v>773</v>
      </c>
    </row>
    <row r="227" spans="1:8" ht="27.75" customHeight="1" x14ac:dyDescent="0.3">
      <c r="A227" s="36" t="s">
        <v>989</v>
      </c>
      <c r="B227" s="36" t="s">
        <v>246</v>
      </c>
      <c r="C227" s="36">
        <v>34</v>
      </c>
      <c r="D227" s="36">
        <v>66</v>
      </c>
      <c r="E227" s="70" t="s">
        <v>763</v>
      </c>
      <c r="F227" s="23" t="s">
        <v>829</v>
      </c>
      <c r="G227" s="36" t="s">
        <v>280</v>
      </c>
      <c r="H227" s="69" t="s">
        <v>761</v>
      </c>
    </row>
    <row r="228" spans="1:8" ht="27.75" customHeight="1" x14ac:dyDescent="0.3">
      <c r="A228" s="72" t="s">
        <v>990</v>
      </c>
      <c r="B228" s="72" t="s">
        <v>246</v>
      </c>
      <c r="C228" s="72">
        <v>67</v>
      </c>
      <c r="D228" s="72">
        <v>99</v>
      </c>
      <c r="E228" s="73" t="s">
        <v>766</v>
      </c>
      <c r="F228" s="74" t="s">
        <v>829</v>
      </c>
      <c r="G228" s="72" t="s">
        <v>280</v>
      </c>
      <c r="H228" s="69" t="s">
        <v>761</v>
      </c>
    </row>
    <row r="229" spans="1:8" ht="27.75" customHeight="1" x14ac:dyDescent="0.3">
      <c r="A229" s="66" t="s">
        <v>991</v>
      </c>
      <c r="B229" s="66" t="s">
        <v>248</v>
      </c>
      <c r="C229" s="66">
        <v>0</v>
      </c>
      <c r="D229" s="66">
        <v>33</v>
      </c>
      <c r="E229" s="67" t="s">
        <v>760</v>
      </c>
      <c r="F229" s="68" t="s">
        <v>829</v>
      </c>
      <c r="G229" s="66" t="s">
        <v>272</v>
      </c>
      <c r="H229" s="71" t="s">
        <v>764</v>
      </c>
    </row>
    <row r="230" spans="1:8" ht="27.75" customHeight="1" x14ac:dyDescent="0.3">
      <c r="A230" s="36" t="s">
        <v>992</v>
      </c>
      <c r="B230" s="36" t="s">
        <v>248</v>
      </c>
      <c r="C230" s="36">
        <v>34</v>
      </c>
      <c r="D230" s="36">
        <v>66</v>
      </c>
      <c r="E230" s="70" t="s">
        <v>763</v>
      </c>
      <c r="F230" s="23" t="s">
        <v>829</v>
      </c>
      <c r="G230" s="36" t="s">
        <v>280</v>
      </c>
      <c r="H230" s="69" t="s">
        <v>761</v>
      </c>
    </row>
    <row r="231" spans="1:8" ht="27.75" customHeight="1" x14ac:dyDescent="0.3">
      <c r="A231" s="72" t="s">
        <v>993</v>
      </c>
      <c r="B231" s="72" t="s">
        <v>248</v>
      </c>
      <c r="C231" s="72">
        <v>67</v>
      </c>
      <c r="D231" s="72">
        <v>99</v>
      </c>
      <c r="E231" s="73" t="s">
        <v>766</v>
      </c>
      <c r="F231" s="74" t="s">
        <v>829</v>
      </c>
      <c r="G231" s="72" t="s">
        <v>280</v>
      </c>
      <c r="H231" s="75" t="s">
        <v>773</v>
      </c>
    </row>
    <row r="232" spans="1:8" ht="27.75" customHeight="1" x14ac:dyDescent="0.3">
      <c r="A232" s="66" t="s">
        <v>994</v>
      </c>
      <c r="B232" s="66" t="s">
        <v>250</v>
      </c>
      <c r="C232" s="66">
        <v>0</v>
      </c>
      <c r="D232" s="66">
        <v>33</v>
      </c>
      <c r="E232" s="67" t="s">
        <v>760</v>
      </c>
      <c r="F232" s="68" t="s">
        <v>829</v>
      </c>
      <c r="G232" s="66" t="s">
        <v>280</v>
      </c>
      <c r="H232" s="75" t="s">
        <v>773</v>
      </c>
    </row>
    <row r="233" spans="1:8" ht="27.75" customHeight="1" x14ac:dyDescent="0.3">
      <c r="A233" s="36" t="s">
        <v>995</v>
      </c>
      <c r="B233" s="36" t="s">
        <v>250</v>
      </c>
      <c r="C233" s="36">
        <v>34</v>
      </c>
      <c r="D233" s="36">
        <v>66</v>
      </c>
      <c r="E233" s="70" t="s">
        <v>763</v>
      </c>
      <c r="F233" s="23" t="s">
        <v>829</v>
      </c>
      <c r="G233" s="36" t="s">
        <v>272</v>
      </c>
      <c r="H233" s="75" t="s">
        <v>773</v>
      </c>
    </row>
    <row r="234" spans="1:8" ht="27.75" customHeight="1" x14ac:dyDescent="0.3">
      <c r="A234" s="72" t="s">
        <v>996</v>
      </c>
      <c r="B234" s="72" t="s">
        <v>250</v>
      </c>
      <c r="C234" s="72">
        <v>67</v>
      </c>
      <c r="D234" s="72">
        <v>99</v>
      </c>
      <c r="E234" s="73" t="s">
        <v>766</v>
      </c>
      <c r="F234" s="74" t="s">
        <v>829</v>
      </c>
      <c r="G234" s="72" t="s">
        <v>280</v>
      </c>
      <c r="H234" s="75" t="s">
        <v>773</v>
      </c>
    </row>
    <row r="235" spans="1:8" ht="27.75" customHeight="1" x14ac:dyDescent="0.3">
      <c r="A235" s="66" t="s">
        <v>997</v>
      </c>
      <c r="B235" s="66" t="s">
        <v>252</v>
      </c>
      <c r="C235" s="66">
        <v>0</v>
      </c>
      <c r="D235" s="66">
        <v>33</v>
      </c>
      <c r="E235" s="67" t="s">
        <v>760</v>
      </c>
      <c r="F235" s="68" t="s">
        <v>829</v>
      </c>
      <c r="G235" s="66" t="s">
        <v>272</v>
      </c>
      <c r="H235" s="69" t="s">
        <v>761</v>
      </c>
    </row>
    <row r="236" spans="1:8" ht="27.75" customHeight="1" x14ac:dyDescent="0.3">
      <c r="A236" s="36" t="s">
        <v>998</v>
      </c>
      <c r="B236" s="36" t="s">
        <v>252</v>
      </c>
      <c r="C236" s="36">
        <v>34</v>
      </c>
      <c r="D236" s="36">
        <v>66</v>
      </c>
      <c r="E236" s="70" t="s">
        <v>763</v>
      </c>
      <c r="F236" s="23" t="s">
        <v>829</v>
      </c>
      <c r="G236" s="36" t="s">
        <v>280</v>
      </c>
      <c r="H236" s="69" t="s">
        <v>761</v>
      </c>
    </row>
    <row r="237" spans="1:8" ht="27.75" customHeight="1" x14ac:dyDescent="0.3">
      <c r="A237" s="72" t="s">
        <v>999</v>
      </c>
      <c r="B237" s="72" t="s">
        <v>252</v>
      </c>
      <c r="C237" s="72">
        <v>67</v>
      </c>
      <c r="D237" s="72">
        <v>99</v>
      </c>
      <c r="E237" s="73" t="s">
        <v>766</v>
      </c>
      <c r="F237" s="74" t="s">
        <v>829</v>
      </c>
      <c r="G237" s="72" t="s">
        <v>272</v>
      </c>
      <c r="H237" s="75" t="s">
        <v>773</v>
      </c>
    </row>
  </sheetData>
  <mergeCells count="2">
    <mergeCell ref="A1:H1"/>
    <mergeCell ref="A2:H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0_Instrucciones</vt:lpstr>
      <vt:lpstr>1_Modulos</vt:lpstr>
      <vt:lpstr>2_Dimensiones</vt:lpstr>
      <vt:lpstr>3_Preguntas</vt:lpstr>
      <vt:lpstr>4_Opciones_Pesos</vt:lpstr>
      <vt:lpstr>5_Estrategias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Oscar Tulio Arismendi Alian</cp:lastModifiedBy>
  <cp:revision>0</cp:revision>
  <dcterms:created xsi:type="dcterms:W3CDTF">2026-07-02T15:37:20Z</dcterms:created>
  <dcterms:modified xsi:type="dcterms:W3CDTF">2026-08-14T14:33:08Z</dcterms:modified>
  <dc:language>en-US</dc:language>
</cp:coreProperties>
</file>